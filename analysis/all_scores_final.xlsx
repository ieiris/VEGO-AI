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03848548-D375-4308-BAF2-DA9A704131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Scores" sheetId="1" r:id="rId1"/>
    <sheet name="Statistics" sheetId="2" r:id="rId2"/>
  </sheets>
  <definedNames>
    <definedName name="_xlnm._FilterDatabase" localSheetId="0" hidden="1">'All Scores'!$A$1:$G$165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 a="1"/>
  <c r="C6" i="2" s="1"/>
  <c r="C8" i="2" a="1"/>
  <c r="C8" i="2" s="1"/>
  <c r="C7" i="2" a="1"/>
  <c r="C7" i="2" s="1"/>
  <c r="C5" i="2" a="1"/>
  <c r="C5" i="2" s="1"/>
  <c r="C4" i="2" a="1"/>
  <c r="C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<sst xmlns="http://schemas.openxmlformats.org/spreadsheetml/2006/main" count="343" uniqueCount="179">
  <si>
    <t>source</t>
  </si>
  <si>
    <t>case_id</t>
  </si>
  <si>
    <t>total_score</t>
  </si>
  <si>
    <t>max_score</t>
  </si>
  <si>
    <t>score_pct</t>
  </si>
  <si>
    <t>overall_assessment</t>
  </si>
  <si>
    <t>cd_pw</t>
  </si>
  <si>
    <t>The case model exceeds guideline compliance by incorporating several valid alternatives not explicitly outlined in the guidelines.</t>
  </si>
  <si>
    <t>The case model exceeds expectations, fully satisfying all domain guidelines and providing additional valuable modelling alternatives.</t>
  </si>
  <si>
    <t>The case model effectively satisfies all guidelines, with additional valid alternative enhancements, exceeding the minimum requirements.</t>
  </si>
  <si>
    <t>The case model exceeds all guideline requirements with multiple valid alternative modeling choices.</t>
  </si>
  <si>
    <t>The case model exceeds the domain guidelines requirements through comprehensive modeling and valid alternative enhancements.</t>
  </si>
  <si>
    <t>The case model satisfies all guidelines and includes valuable alternatives, although it contains a minor, low-severity domain error.</t>
  </si>
  <si>
    <t>The case model satisfies all domain guidelines with comprehensive coverage, representing all guidelines with satisfactory compliance.</t>
  </si>
  <si>
    <t>The case model successfully meets all domain guideline requirements and represents valid extensions, achieving a perfect compliance score.</t>
  </si>
  <si>
    <t>The case model effectively complies with 95.8% of the domain guidelines and includes several valid alternative modeling decisions.</t>
  </si>
  <si>
    <t>The case model exhibits strong compliance with the domain guidelines, effectively covering most guidelines with robust evidence and an innovative approach.</t>
  </si>
  <si>
    <t>The case model effectively complies with most guidelines, with strong mapping and valid alternatives contributing to a high score.</t>
  </si>
  <si>
    <t>The case model covers the operations and requirements of the domain effectively with minor oversights in operationalization and external integrations.</t>
  </si>
  <si>
    <t>The case model demonstrates strong compliance with the guidelines, fulfilling most requirements and adequately handling alternative modelling choices.</t>
  </si>
  <si>
    <t>The case model has achieved a high level of compliance with the guidelines, with most requirements fully satisfied and a few partially addressed.</t>
  </si>
  <si>
    <t>The case model largely satisfies the guidelines with only minor gaps mostly due to partially satisfied compliance.</t>
  </si>
  <si>
    <t>The case model demonstrates strong compliance with domain guidelines, with just a few domain aspects needing better integration.</t>
  </si>
  <si>
    <t>The case model demonstrates high compliance with domain guidelines, though some areas are partially satisfied.</t>
  </si>
  <si>
    <t>The case model effectively satisfies most of the relevant guidelines, with minor areas for improvement in explicit operations and reporting functionalities.</t>
  </si>
  <si>
    <t>The case model demonstrates strong compliance with most guidelines, excelling in defined classes and attributes, with minor gaps in explicit detailing for some requirements.</t>
  </si>
  <si>
    <t>The case model is well-compliant with domain guidelines, achieving a high score with only minor issues in certain areas.</t>
  </si>
  <si>
    <t>The case model meets most guidelines but has room for improvement in explicitly modeling compliance components.</t>
  </si>
  <si>
    <t>The case model demonstrates a strong level of compliance with the domain guidelines, though there are gaps in detailing specific aspects such as available parking spaces and club member benefits.</t>
  </si>
  <si>
    <t>The case model is well-aligned with domain guidelines, showing full compliance with most key aspects and partial support for reporting functionalities.</t>
  </si>
  <si>
    <t>The case model satisfies the majority of the guidelines with a few minor issues remaining, particularly around special discount operations.</t>
  </si>
  <si>
    <t>The case model satisfies many of the guidelines, although several critical domain processes are not fully operationalized.</t>
  </si>
  <si>
    <t>The case model satisfies a majority of the guidelines but has notable domain and language errors that need addressing for full compliance.</t>
  </si>
  <si>
    <t>The case model displays strong compliance with the guidelines, although some aspects, particularly related to explicit logic and optional features, could be further refined.</t>
  </si>
  <si>
    <t>The UML Class Diagram aligns well with the domain guidelines but there are some areas with partial satisfaction and an identified domain mistake.</t>
  </si>
  <si>
    <t>The case model meets several guidelines effectively but misses key domain functionalities and operational details.</t>
  </si>
  <si>
    <t>The case model satisfies most guidelines but misses key compliance elements, affecting system alignment.</t>
  </si>
  <si>
    <t>The model satisfies the majority of the guidelines but lacks implementation for certain reports and essential operations like payment processing and sensor data management.</t>
  </si>
  <si>
    <t>The case model demonstrates a good level of compliance, but several areas still require enhancement, especially regarding report generation logic and explicit modeling.</t>
  </si>
  <si>
    <t>The case model is partially compliant, meeting many guidelines but missing several critical operationalizations in key areas.</t>
  </si>
  <si>
    <t>The case model successfully addresses many domain guidelines, but key functionalities related to administrator operations, gate sensors, conveyor mechanisms, SMS notifications, payment interactions, and client preferences are missing.</t>
  </si>
  <si>
    <t>The case model demonstrates good coverage of guidelines but has operational and domain implementation gaps requiring attention.</t>
  </si>
  <si>
    <t>The case model thoroughly satisfies core domain requirements, but several high-severity domain mistakes need to be addressed for full compliance.</t>
  </si>
  <si>
    <t>The case model meets a few guidelines and contains useful alternatives, but overall compliance is low.</t>
  </si>
  <si>
    <t>cd_ch</t>
  </si>
  <si>
    <t>The case model fully satisfies all guidelines and demonstrates exceptional use of alternative modeling choices for enhanced clarity and functionality.</t>
  </si>
  <si>
    <t>The case model fully satisfies all guidelines and includes sensible extensions, reflecting a comprehensive understanding of the Cheers system.</t>
  </si>
  <si>
    <t>The case model satisfactorily represents most of the domain guidelines and includes innovative modelling choices beyond the guidelines.</t>
  </si>
  <si>
    <t>The case model is well-aligned with most guidelines, showing only minor gaps in explicit inventory update processes.</t>
  </si>
  <si>
    <t>The case model fully meets all domain guidelines, achieving a perfect compliance score.</t>
  </si>
  <si>
    <t>The case model comprehensively satisfies the majority of the guidelines, with minor areas for improvements identified.</t>
  </si>
  <si>
    <t>The case model satisfies most of the guidelines, with minor improvements needed in employee ordering handling.</t>
  </si>
  <si>
    <t>The case model demonstrates strong compliance with domain guidelines, with most guidelines fully satisfied and only a few areas needing further detail.</t>
  </si>
  <si>
    <t>The case model demonstrates strong compliance with domain guidelines, effectively addressing most requirements with noteworthy alternative solutions.</t>
  </si>
  <si>
    <t>The case model is highly compliant with the domain guidelines, successfully capturing nearly all requirements with only minor areas for improvement or refinement.</t>
  </si>
  <si>
    <t>The case model demonstrates thorough adherence to the domain guidelines with only minor areas for improvement noted.</t>
  </si>
  <si>
    <t>The case model demonstrates strong compliance with the domain guidelines, with minor improvements possible in employee order representation and recipe link detailing.</t>
  </si>
  <si>
    <t>The case model is highly compliant, with most guidelines satisfied and some minor areas for improvement.</t>
  </si>
  <si>
    <t>The case model is largely compliant with the guidelines, with minor exceptions related to external interactions and reporting clarity.</t>
  </si>
  <si>
    <t>The case model demonstrates strong compliance with the guidelines, with most criteria fully met and minor areas for improvement.</t>
  </si>
  <si>
    <t>The case model effectively meets most guidelines with minor improvements needed in a few areas and some language errors present.</t>
  </si>
  <si>
    <t>The case model largely complies with the domain guidelines, effectively representing most requirements, though improvements are needed in representing external dependencies and employee ordering privileges.</t>
  </si>
  <si>
    <t>The case model demonstrates a high level of compliance with the domain guidelines, efficiently representing most specified aspects with minor gaps and opportunities for enhancement.</t>
  </si>
  <si>
    <t>The case model demonstrates strong compliance with domain guidelines, with minor areas for improvement.</t>
  </si>
  <si>
    <t>The case model effectively meets a majority of domain guidelines, with some areas for improvement in capturing certain details.</t>
  </si>
  <si>
    <t>The case model effectively covers most guidelines, with minor areas needing explicit detailing or corrections.</t>
  </si>
  <si>
    <t>The case model demonstrates thorough coverage of domain requirements with a strong alignment to guidelines, achieving a high compliance percentage.</t>
  </si>
  <si>
    <t>The case model is well-aligned with the domain guidelines, with most requirements satisfied and only a few areas needing improvement.</t>
  </si>
  <si>
    <t>The case model demonstrates high compliance with the domain guidelines, addressing most aspects effectively with minor areas for improvement.</t>
  </si>
  <si>
    <t>The case model for ID 68064 demonstrates a high level of compliance with domain guidelines, though some areas could benefit from additional detail or corrections.</t>
  </si>
  <si>
    <t>The 'Cheers' case model demonstrates strong alignment with the domain guidelines, effectively covering most requirements and providing flexible alternative solutions where applicable.</t>
  </si>
  <si>
    <t>The case model achieves strong compliance with guidelines, though lacks representation for external delivery and role-specific permissions.</t>
  </si>
  <si>
    <t>The case model satisfies most of the guidelines, with some areas for improvement in representing external dependencies and abstract class structures.</t>
  </si>
  <si>
    <t>The case model demonstrates a high level of compliance with the domain guidelines, with most guidelines either satisfied or partially satisfied.</t>
  </si>
  <si>
    <t>The case model largely complies with domain guidelines, but lacks representation of external system interactions and employee order functionalities.</t>
  </si>
  <si>
    <t>The case model effectively addresses the majority of guidelines but misses certain external integrations and role-based restrictions.</t>
  </si>
  <si>
    <t>The case model largely complies with guidelines with minor gaps in detailing customer-specific order tracking and marketing employee functions.</t>
  </si>
  <si>
    <t>The case model satisfies a majority of guidelines, demonstrating strong domain understanding with room for improvement in specific areas like urgent order processing and inventory updates.</t>
  </si>
  <si>
    <t>The case model satisfies most guidelines, but improvements are needed for specific customer tracking and external data handling.</t>
  </si>
  <si>
    <t>The case model shows good coverage of the guidelines but could benefit from improved detailing of order-related employee roles and explicit post-sale inventory updates.</t>
  </si>
  <si>
    <t>The case model satisfies many guidelines, particularly in attribute definition and operation handling, but misses specific aspects such as handling urgent orders and employee order conditions.</t>
  </si>
  <si>
    <t>The case model satisfies many key guidelines, but has several partial satisfactions and omissions, with some language mistakes affecting clarity.</t>
  </si>
  <si>
    <t>The case model adequately represents many guidelines but lacks in some specific areas such as external delivery handling, wine differentiation, and role-based permissions.</t>
  </si>
  <si>
    <t>The case model meets most guidelines effectively but lacks specific representations for external dependencies and some details on employee-customer equivalence in order conditions.</t>
  </si>
  <si>
    <t>The case model meets a majority of the domain guidelines but has several areas where partial compliance or lack of specific detail reduces overall effectiveness.</t>
  </si>
  <si>
    <t>The case model adequately satisfies most guidelines with some areas requiring further detail or improvement to fully align with domain expectations.</t>
  </si>
  <si>
    <t>The case model demonstrates a moderate level of compliance with domain guidelines, but there are areas for improvement, particularly in detailing specific attributes and handling of orders.</t>
  </si>
  <si>
    <t>The case model satisfies several guidelines but lacks coverage in others, showing room for improvement in representing the system's roles and processes more comprehensively.</t>
  </si>
  <si>
    <t>The case model satisfies a majority of the guidelines partially or fully, but several domain and language issues remain unaddressed.</t>
  </si>
  <si>
    <t>Row Labels</t>
  </si>
  <si>
    <t>Grand Total</t>
  </si>
  <si>
    <t>Count of case_id</t>
  </si>
  <si>
    <t>grade</t>
  </si>
  <si>
    <t>Correl</t>
  </si>
  <si>
    <t>ucd_pw</t>
  </si>
  <si>
    <t>The case model exceeds expectations with all guidelines satisfied and additional valid alternative modeling choices enhancing clarity and functionality.</t>
  </si>
  <si>
    <t>The case model exceeds the expected compliance, with valid alternative approaches and full guideline satisfaction.</t>
  </si>
  <si>
    <t>The case model exhibits excellent compliance with all guidelines and includes several creative operational enhancements.</t>
  </si>
  <si>
    <t>The case model exceeds expectations by satisfying all domain guidelines and incorporating creative alternative approaches.</t>
  </si>
  <si>
    <t>The case model exceeds full compliance with domain guidelines, demonstrating extensive alignment with mapped requirements.</t>
  </si>
  <si>
    <t>The case model meets and in some cases exceeds the domain guidelines with strong compliance and alternative enhancements.</t>
  </si>
  <si>
    <t>The case model exhibits comprehensive guideline coverage with innovative alternatives contributing to a high compliance score.</t>
  </si>
  <si>
    <t>The case model demonstrates exceptional coverage and alignment with domain guidelines, with several enhancements identified.</t>
  </si>
  <si>
    <t>The case model exceeds expectations, with all guidelines being fully satisfied, and additional valuable alternatives noted.</t>
  </si>
  <si>
    <t>The overall compliance of the case model is exceptionally high, surpassing the maximum expected score due to valid alternative modeling choices enhancing usability.</t>
  </si>
  <si>
    <t>The case model satisfies all guidelines effectively, with some areas for improvement related to specific usage details.</t>
  </si>
  <si>
    <t>The case model successfully satisfies all guidelines with an additional valid alternative modeling choice.</t>
  </si>
  <si>
    <t>The case model demonstrates excellent compliance, addressing nearly all guidelines with some alternative valid solutions presented.</t>
  </si>
  <si>
    <t>The case model shows a strong alignment with the domain guidelines with some minor room for improvement and achieves an exceptional score.</t>
  </si>
  <si>
    <t>The case model effectively covers nearly all domain guidelines, with innovative modeling choices beyond the basic requirements.</t>
  </si>
  <si>
    <t>The case model fully satisfies all domain guidelines without any uncovered fragments or issues.</t>
  </si>
  <si>
    <t>The case model meets all domain guidelines comprehensively with partial satisfaction for two guidelines being supported by detailed entries and alternatives.</t>
  </si>
  <si>
    <t>The case model perfectly meets all guidelines with full compliance.</t>
  </si>
  <si>
    <t>The case model fully complies with all domain guidelines, achieving a perfect score.</t>
  </si>
  <si>
    <t>The case model strongly aligns with the guidelines, demonstrating comprehensive compliance across most areas with minor improvements noted.</t>
  </si>
  <si>
    <t>The case model is highly compliant with domain guidelines, with a notable adherence to most required aspects.</t>
  </si>
  <si>
    <t>The case model covers nearly all guidelines with little to no deviation, demonstrating strong compliance with the domain expectations.</t>
  </si>
  <si>
    <t>The case model for 70252 demonstrates near-complete compliance with the domain guidelines, evidencing a robust design with minor scope for refinement.</t>
  </si>
  <si>
    <t>The case model demonstrates strong compliance with domain guidelines, successfully addressing most requirements.</t>
  </si>
  <si>
    <t>The case model performs excellently, meeting most domain guidelines with few areas for improvement.</t>
  </si>
  <si>
    <t>The case model demonstrates comprehensive compliance with most of the domain guidelines, with only minor gaps in detailing certain processes.</t>
  </si>
  <si>
    <t>The case model largely adheres to domain guidelines, demonstrating robust compliance with a few partially addressed areas.</t>
  </si>
  <si>
    <t>The case model demonstrates strong compliance with domain guidelines, effectively covering most of the required guidelines, with only a few areas lacking explicit detail.</t>
  </si>
  <si>
    <t>The case model demonstrates strong compliance with guidelines but has minor areas needing clarity or adjustment.</t>
  </si>
  <si>
    <t>The case model of ParkWise demonstrates strong compliance with the domain guidelines, satisfying most and partially satisfying the remaining criteria.</t>
  </si>
  <si>
    <t>The case model satisfies most guidelines, with effective use of use cases and actors, though some details like optimization algorithms and client notifications could be further refined.</t>
  </si>
  <si>
    <t>The case model largely meets domain guidelines with minor gaps in explicit details.</t>
  </si>
  <si>
    <t>The case model largely complies with the guidelines, with a few areas for improvement in terms of explicit details and connections.</t>
  </si>
  <si>
    <t>The case model demonstrates strong compliance with the guidelines, with several areas exhibiting room for explicit detail improvements.</t>
  </si>
  <si>
    <t>The case model demonstrates strong compliance with the guidelines, though certain areas could benefit from greater explicit representation.</t>
  </si>
  <si>
    <t>The case model mostly adheres to the guidelines, with certain areas clearly detailed and a few needing explicit coverage or improvement.</t>
  </si>
  <si>
    <t>The case model for ID 70250 demonstrates solid guideline adherence but requires attention to vehicle exit data flows and integration of financial systems.</t>
  </si>
  <si>
    <t>This case model effectively complies with most domain guidelines, although there are several areas that remain under-specified or lack explicit details.</t>
  </si>
  <si>
    <t>The case model demonstrates a solid understanding of domain requirements but has room for improvement, particularly in explicitly documenting guideline elements.</t>
  </si>
  <si>
    <t>The case model partially meets the domain guidelines, with several areas lacking evidence or detail and some guidelines fully satisfied.</t>
  </si>
  <si>
    <t>ucd_ch</t>
  </si>
  <si>
    <t>The case model excellently complies with the guidelines, effectively integrating additional beneficial elements beyond the minimal requirements.</t>
  </si>
  <si>
    <t>The case model fully complies with all domain guidelines.</t>
  </si>
  <si>
    <t>The case model comprehensively satisfies the guidelines with a perfect score, though some stylistic UML improvements can be made.</t>
  </si>
  <si>
    <t>The case model fully satisfies all guidelines, demonstrating comprehensive alignment with domain expectations.</t>
  </si>
  <si>
    <t>The case model mostly satisfies the guidelines with minor improvements needed for explicit depiction of data interaction and minor language-related corrections.</t>
  </si>
  <si>
    <t>The case model for the 'Cheers' system is highly compliant with domain guidelines, successfully capturing nearly all specified requirements.</t>
  </si>
  <si>
    <t>The case model demonstrates a strong alignment with the domain guidelines, achieving over 95% compliance.</t>
  </si>
  <si>
    <t>The use case model effectively covers the majority of the domain guidelines, with only a few areas needing explicit detailing.</t>
  </si>
  <si>
    <t>The case model achieves a high level of compliance with most guidelines satisfied or partially satisfied, reflecting strong adherence to the domain guidelines.</t>
  </si>
  <si>
    <t>The case model shows strong compliance with the guidelines, with a few areas for further detail improvement.</t>
  </si>
  <si>
    <t>The case model shows strong compliance with the guidelines, addressing nearly all requirements effectively, with minor room for improvement.</t>
  </si>
  <si>
    <t>The case model for 'Cheers' system demonstrates strong compliance with the domain guidelines, meeting most expectations with some opportunities for clarifying customer order tracking specifics.</t>
  </si>
  <si>
    <t>The case model provides a strong representation of the required guidelines with room for slight improvement in detailing specific wine and inventory handling processes.</t>
  </si>
  <si>
    <t>The case model demonstrates a strong alignment with the domain guidelines, effectively capturing key operations and interactions, though some areas related to inventory and storage details require further refinement.</t>
  </si>
  <si>
    <t>The case model largely complies with the domain guidelines, with most guidelines either satisfied or partially met, achieving a strong overall score.</t>
  </si>
  <si>
    <t>The case model demonstrates a strong alignment with domain guidelines, fulfilling most guidelines with minor areas for improvement.</t>
  </si>
  <si>
    <t>The case model effectively satisfies most guidelines with room for improvement in detailing specific data associations and conditions.</t>
  </si>
  <si>
    <t>The Cheers case model is well-done, satisfying most guidelines with room for improvement in detailing customer information and handling external interactions.</t>
  </si>
  <si>
    <t>The case model substantially meets the domain guidelines with a few partially satisfied aspects and enhancements reflected as alternatives.</t>
  </si>
  <si>
    <t>The case model demonstrates good compliance with the domain guidelines, though there are several areas marked partially-satisfied that could benefit from more detail.</t>
  </si>
  <si>
    <t>The model satisfies most guidelines but lacks explicitly detailed use cases for certain key functionalities, leading to some partial and unsatisfied scores.</t>
  </si>
  <si>
    <t>The Cheers system case model largely satisfies domain guidelines, with some areas of non-compliance and improvement needed in providing specific details and correct language use.</t>
  </si>
  <si>
    <t>The case model satisfies many core guidelines, but lacks completeness in specific areas and contains a notable domain error.</t>
  </si>
  <si>
    <t>The case model demonstrates good coverage of guidelines with room for improvement in specific functional and external integration use cases.</t>
  </si>
  <si>
    <t>The case model demonstrates reasonable compliance with domain guidelines, though several key areas such as customer details and inventory tracking remain underrepresented.</t>
  </si>
  <si>
    <t>The case model satisfies many guidelines, with room for improvement in representing external entities and detailed records.</t>
  </si>
  <si>
    <t>The case model demonstrates a moderate level of compliance, meeting several guidelines but lacking detail in key areas.</t>
  </si>
  <si>
    <t>The case model demonstrates a moderate level of compliance with several guidelines fully satisfied but many partially met or unmet, indicating areas for improvement.</t>
  </si>
  <si>
    <t>The case model effectively meets many of the guidelines, though there are notable areas lacking explicit representation, particularly regarding system boundaries and customer detail recording.</t>
  </si>
  <si>
    <t>The case model meets several guidelines, but it has significant gaps in detailed functionality regarding employee orders, wine data management, and other specifics.</t>
  </si>
  <si>
    <t>The case model moderately satisfies domain guidelines, with opportunities for improvement in detailing specific functionalities.</t>
  </si>
  <si>
    <t>The case model satisfies most guidelines related to the 'Cheers' system but lacks in capturing certain detailed requirements, preventing a higher score.</t>
  </si>
  <si>
    <t>The case model meets the requirements moderately well, with strong compliance in most areas, though some details and specificities could be improved for complete alignment with guidelines.</t>
  </si>
  <si>
    <t>The case model meets many guidelines but lacks explicit representation for some key requirements.</t>
  </si>
  <si>
    <t>The case model meets a majority of guidelines, though several key areas require additional detail or representation for full compliance.</t>
  </si>
  <si>
    <t>The case model satisfies several guidelines but lacks explicit representation for many required functionalities, leading to only a partially compliant score.</t>
  </si>
  <si>
    <t>The case model partially fulfills the guidelines with room for improvement, particularly in capturing details and employee ordering capabilities.</t>
  </si>
  <si>
    <t>The case model satisfies many guidelines with several partially satisfied or not addressed, and valid alternatives provide some additional value.</t>
  </si>
  <si>
    <t>The case model partially meets domain guidelines, with many guidelines satisfied or partially satisfied but several still not addressed.</t>
  </si>
  <si>
    <t>The case model meets about half of its compliance guidelines, with room for improvement in defining system boundaries and detailing use cases.</t>
  </si>
  <si>
    <t>The case model satisfies several key guidelines but lacks comprehensive coverage of customer and inventory management, leading to a below-average score.</t>
  </si>
  <si>
    <t>The case model partially satisfies the guidelines with potential improvement needed in detailing system functionalities and roles.</t>
  </si>
  <si>
    <t>The case model partially fulfills the domain guidelines, with several aspects satisfactorily covered but lacking detail in many key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</si>
</sst>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3" borderId="1" xfId="0" applyFont="1" applyFill="1" applyBorder="1"/>
    <xf numFmtId="2" fontId="0" fillId="0" borderId="0" xfId="0" applyNumberFormat="1" applyAlignment="1">
      <alignment vertical="top"/>
    </xf>
    <xf numFmtId="2" fontId="3" fillId="3" borderId="1" xfId="0" applyNumberFormat="1" applyFont="1" applyFill="1" applyBorder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Scores'!$G$1</c:f>
              <c:strCache>
                <c:ptCount val="1"/>
                <c:pt idx="0">
                  <c:v>grade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Scores'!$E$2:$E$168</c:f>
              <c:numCache>
                <c:formatCode>General</c:formatCode>
                <c:ptCount val="167"/>
                <c:pt idx="0">
                  <c:v>122.2</c:v>
                </c:pt>
                <c:pt idx="1">
                  <c:v>116.7</c:v>
                </c:pt>
                <c:pt idx="2">
                  <c:v>116.7</c:v>
                </c:pt>
                <c:pt idx="3">
                  <c:v>108.3</c:v>
                </c:pt>
                <c:pt idx="4">
                  <c:v>108.3</c:v>
                </c:pt>
                <c:pt idx="5">
                  <c:v>101.4</c:v>
                </c:pt>
                <c:pt idx="6">
                  <c:v>100</c:v>
                </c:pt>
                <c:pt idx="7">
                  <c:v>100</c:v>
                </c:pt>
                <c:pt idx="8">
                  <c:v>95.8</c:v>
                </c:pt>
                <c:pt idx="9">
                  <c:v>94.7</c:v>
                </c:pt>
                <c:pt idx="10">
                  <c:v>94.4</c:v>
                </c:pt>
                <c:pt idx="11">
                  <c:v>94.4</c:v>
                </c:pt>
                <c:pt idx="12">
                  <c:v>91.7</c:v>
                </c:pt>
                <c:pt idx="13">
                  <c:v>90.3</c:v>
                </c:pt>
                <c:pt idx="14">
                  <c:v>88.9</c:v>
                </c:pt>
                <c:pt idx="15">
                  <c:v>88.9</c:v>
                </c:pt>
                <c:pt idx="16">
                  <c:v>86.1</c:v>
                </c:pt>
                <c:pt idx="17">
                  <c:v>86.1</c:v>
                </c:pt>
                <c:pt idx="18">
                  <c:v>86.1</c:v>
                </c:pt>
                <c:pt idx="19">
                  <c:v>84.7</c:v>
                </c:pt>
                <c:pt idx="20">
                  <c:v>83.3</c:v>
                </c:pt>
                <c:pt idx="21">
                  <c:v>80.599999999999994</c:v>
                </c:pt>
                <c:pt idx="22">
                  <c:v>80.599999999999994</c:v>
                </c:pt>
                <c:pt idx="23">
                  <c:v>77.8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69.400000000000006</c:v>
                </c:pt>
                <c:pt idx="28">
                  <c:v>66.7</c:v>
                </c:pt>
                <c:pt idx="29">
                  <c:v>66.7</c:v>
                </c:pt>
                <c:pt idx="30">
                  <c:v>63.9</c:v>
                </c:pt>
                <c:pt idx="31">
                  <c:v>62.5</c:v>
                </c:pt>
                <c:pt idx="32">
                  <c:v>62.5</c:v>
                </c:pt>
                <c:pt idx="33">
                  <c:v>61.1</c:v>
                </c:pt>
                <c:pt idx="34">
                  <c:v>58.3</c:v>
                </c:pt>
                <c:pt idx="35">
                  <c:v>33.299999999999997</c:v>
                </c:pt>
                <c:pt idx="36">
                  <c:v>30.6</c:v>
                </c:pt>
                <c:pt idx="37">
                  <c:v>113.5</c:v>
                </c:pt>
                <c:pt idx="38">
                  <c:v>107.7</c:v>
                </c:pt>
                <c:pt idx="39">
                  <c:v>105.8</c:v>
                </c:pt>
                <c:pt idx="40">
                  <c:v>105.8</c:v>
                </c:pt>
                <c:pt idx="41">
                  <c:v>100</c:v>
                </c:pt>
                <c:pt idx="42">
                  <c:v>100</c:v>
                </c:pt>
                <c:pt idx="43">
                  <c:v>98.1</c:v>
                </c:pt>
                <c:pt idx="44">
                  <c:v>98.1</c:v>
                </c:pt>
                <c:pt idx="45">
                  <c:v>98.1</c:v>
                </c:pt>
                <c:pt idx="46">
                  <c:v>97.1</c:v>
                </c:pt>
                <c:pt idx="47">
                  <c:v>96.2</c:v>
                </c:pt>
                <c:pt idx="48">
                  <c:v>95.2</c:v>
                </c:pt>
                <c:pt idx="49">
                  <c:v>94.2</c:v>
                </c:pt>
                <c:pt idx="50">
                  <c:v>94.2</c:v>
                </c:pt>
                <c:pt idx="51">
                  <c:v>92.6</c:v>
                </c:pt>
                <c:pt idx="52">
                  <c:v>91.3</c:v>
                </c:pt>
                <c:pt idx="53">
                  <c:v>91.3</c:v>
                </c:pt>
                <c:pt idx="54">
                  <c:v>90.4</c:v>
                </c:pt>
                <c:pt idx="55">
                  <c:v>90.4</c:v>
                </c:pt>
                <c:pt idx="56">
                  <c:v>88.5</c:v>
                </c:pt>
                <c:pt idx="57">
                  <c:v>87.5</c:v>
                </c:pt>
                <c:pt idx="58">
                  <c:v>86.5</c:v>
                </c:pt>
                <c:pt idx="59">
                  <c:v>86.5</c:v>
                </c:pt>
                <c:pt idx="60">
                  <c:v>86.5</c:v>
                </c:pt>
                <c:pt idx="61">
                  <c:v>84.6</c:v>
                </c:pt>
                <c:pt idx="62">
                  <c:v>84.6</c:v>
                </c:pt>
                <c:pt idx="63">
                  <c:v>84.6</c:v>
                </c:pt>
                <c:pt idx="64">
                  <c:v>84.6</c:v>
                </c:pt>
                <c:pt idx="65">
                  <c:v>82.7</c:v>
                </c:pt>
                <c:pt idx="66">
                  <c:v>82.7</c:v>
                </c:pt>
                <c:pt idx="67">
                  <c:v>82.7</c:v>
                </c:pt>
                <c:pt idx="68">
                  <c:v>81.7</c:v>
                </c:pt>
                <c:pt idx="69">
                  <c:v>78.8</c:v>
                </c:pt>
                <c:pt idx="70">
                  <c:v>78.8</c:v>
                </c:pt>
                <c:pt idx="71">
                  <c:v>76</c:v>
                </c:pt>
                <c:pt idx="72">
                  <c:v>73.099999999999994</c:v>
                </c:pt>
                <c:pt idx="73">
                  <c:v>72.099999999999994</c:v>
                </c:pt>
                <c:pt idx="74">
                  <c:v>71.2</c:v>
                </c:pt>
                <c:pt idx="75">
                  <c:v>70.2</c:v>
                </c:pt>
                <c:pt idx="76">
                  <c:v>69.2</c:v>
                </c:pt>
                <c:pt idx="77">
                  <c:v>67.3</c:v>
                </c:pt>
                <c:pt idx="78">
                  <c:v>57.7</c:v>
                </c:pt>
                <c:pt idx="79">
                  <c:v>57.7</c:v>
                </c:pt>
                <c:pt idx="80">
                  <c:v>52.9</c:v>
                </c:pt>
                <c:pt idx="81">
                  <c:v>111.5</c:v>
                </c:pt>
                <c:pt idx="82">
                  <c:v>111.5</c:v>
                </c:pt>
                <c:pt idx="83">
                  <c:v>109.4</c:v>
                </c:pt>
                <c:pt idx="84">
                  <c:v>107.3</c:v>
                </c:pt>
                <c:pt idx="85">
                  <c:v>104.2</c:v>
                </c:pt>
                <c:pt idx="86">
                  <c:v>104.1</c:v>
                </c:pt>
                <c:pt idx="87">
                  <c:v>103.1</c:v>
                </c:pt>
                <c:pt idx="88">
                  <c:v>102.1</c:v>
                </c:pt>
                <c:pt idx="89">
                  <c:v>102.1</c:v>
                </c:pt>
                <c:pt idx="90">
                  <c:v>102.1</c:v>
                </c:pt>
                <c:pt idx="91">
                  <c:v>101</c:v>
                </c:pt>
                <c:pt idx="92">
                  <c:v>101</c:v>
                </c:pt>
                <c:pt idx="93">
                  <c:v>101</c:v>
                </c:pt>
                <c:pt idx="94">
                  <c:v>101</c:v>
                </c:pt>
                <c:pt idx="95">
                  <c:v>101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99.5</c:v>
                </c:pt>
                <c:pt idx="101">
                  <c:v>99</c:v>
                </c:pt>
                <c:pt idx="102">
                  <c:v>98.9</c:v>
                </c:pt>
                <c:pt idx="103">
                  <c:v>97.4</c:v>
                </c:pt>
                <c:pt idx="104">
                  <c:v>96.9</c:v>
                </c:pt>
                <c:pt idx="105">
                  <c:v>96.9</c:v>
                </c:pt>
                <c:pt idx="106">
                  <c:v>95.8</c:v>
                </c:pt>
                <c:pt idx="107">
                  <c:v>92.7</c:v>
                </c:pt>
                <c:pt idx="108">
                  <c:v>91.7</c:v>
                </c:pt>
                <c:pt idx="109">
                  <c:v>89.6</c:v>
                </c:pt>
                <c:pt idx="110">
                  <c:v>88.5</c:v>
                </c:pt>
                <c:pt idx="111">
                  <c:v>87</c:v>
                </c:pt>
                <c:pt idx="112">
                  <c:v>86.5</c:v>
                </c:pt>
                <c:pt idx="113">
                  <c:v>86.5</c:v>
                </c:pt>
                <c:pt idx="114">
                  <c:v>83.3</c:v>
                </c:pt>
                <c:pt idx="115">
                  <c:v>81.2</c:v>
                </c:pt>
                <c:pt idx="116">
                  <c:v>80.2</c:v>
                </c:pt>
                <c:pt idx="117">
                  <c:v>78.599999999999994</c:v>
                </c:pt>
                <c:pt idx="118">
                  <c:v>76</c:v>
                </c:pt>
                <c:pt idx="119">
                  <c:v>68.8</c:v>
                </c:pt>
                <c:pt idx="120">
                  <c:v>36.5</c:v>
                </c:pt>
                <c:pt idx="121">
                  <c:v>101.9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98.1</c:v>
                </c:pt>
                <c:pt idx="126">
                  <c:v>96.3</c:v>
                </c:pt>
                <c:pt idx="127">
                  <c:v>95.4</c:v>
                </c:pt>
                <c:pt idx="128">
                  <c:v>92.6</c:v>
                </c:pt>
                <c:pt idx="129">
                  <c:v>92.6</c:v>
                </c:pt>
                <c:pt idx="130">
                  <c:v>92.6</c:v>
                </c:pt>
                <c:pt idx="131">
                  <c:v>90.7</c:v>
                </c:pt>
                <c:pt idx="132">
                  <c:v>90.7</c:v>
                </c:pt>
                <c:pt idx="133">
                  <c:v>90.7</c:v>
                </c:pt>
                <c:pt idx="134">
                  <c:v>85.2</c:v>
                </c:pt>
                <c:pt idx="135">
                  <c:v>83.3</c:v>
                </c:pt>
                <c:pt idx="136">
                  <c:v>83.3</c:v>
                </c:pt>
                <c:pt idx="137">
                  <c:v>79.599999999999994</c:v>
                </c:pt>
                <c:pt idx="138">
                  <c:v>77.8</c:v>
                </c:pt>
                <c:pt idx="139">
                  <c:v>77.8</c:v>
                </c:pt>
                <c:pt idx="140">
                  <c:v>74.099999999999994</c:v>
                </c:pt>
                <c:pt idx="141">
                  <c:v>72.2</c:v>
                </c:pt>
                <c:pt idx="142">
                  <c:v>72.2</c:v>
                </c:pt>
                <c:pt idx="143">
                  <c:v>72.2</c:v>
                </c:pt>
                <c:pt idx="144">
                  <c:v>68.5</c:v>
                </c:pt>
                <c:pt idx="145">
                  <c:v>68.5</c:v>
                </c:pt>
                <c:pt idx="146">
                  <c:v>66.7</c:v>
                </c:pt>
                <c:pt idx="147">
                  <c:v>64.8</c:v>
                </c:pt>
                <c:pt idx="148">
                  <c:v>64.8</c:v>
                </c:pt>
                <c:pt idx="149">
                  <c:v>64.8</c:v>
                </c:pt>
                <c:pt idx="150">
                  <c:v>64.8</c:v>
                </c:pt>
                <c:pt idx="151">
                  <c:v>61.1</c:v>
                </c:pt>
                <c:pt idx="152">
                  <c:v>61.1</c:v>
                </c:pt>
                <c:pt idx="153">
                  <c:v>61.1</c:v>
                </c:pt>
                <c:pt idx="154">
                  <c:v>59.3</c:v>
                </c:pt>
                <c:pt idx="155">
                  <c:v>57.4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51.9</c:v>
                </c:pt>
                <c:pt idx="160">
                  <c:v>50</c:v>
                </c:pt>
                <c:pt idx="161">
                  <c:v>42.6</c:v>
                </c:pt>
                <c:pt idx="162">
                  <c:v>42.6</c:v>
                </c:pt>
                <c:pt idx="163">
                  <c:v>40.700000000000003</c:v>
                </c:pt>
              </c:numCache>
            </c:numRef>
          </c:xVal>
          <c:yVal>
            <c:numRef>
              <c:f>'All Scores'!$G$2:$G$168</c:f>
              <c:numCache>
                <c:formatCode>General</c:formatCode>
                <c:ptCount val="167"/>
                <c:pt idx="0">
                  <c:v>15</c:v>
                </c:pt>
                <c:pt idx="1">
                  <c:v>21</c:v>
                </c:pt>
                <c:pt idx="2">
                  <c:v>18.5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24</c:v>
                </c:pt>
                <c:pt idx="9">
                  <c:v>23</c:v>
                </c:pt>
                <c:pt idx="10">
                  <c:v>23</c:v>
                </c:pt>
                <c:pt idx="11">
                  <c:v>19</c:v>
                </c:pt>
                <c:pt idx="12">
                  <c:v>23</c:v>
                </c:pt>
                <c:pt idx="13">
                  <c:v>23</c:v>
                </c:pt>
                <c:pt idx="14">
                  <c:v>25.5</c:v>
                </c:pt>
                <c:pt idx="15">
                  <c:v>27</c:v>
                </c:pt>
                <c:pt idx="16">
                  <c:v>23</c:v>
                </c:pt>
                <c:pt idx="17">
                  <c:v>19</c:v>
                </c:pt>
                <c:pt idx="18">
                  <c:v>24</c:v>
                </c:pt>
                <c:pt idx="19">
                  <c:v>24</c:v>
                </c:pt>
                <c:pt idx="20">
                  <c:v>23.5</c:v>
                </c:pt>
                <c:pt idx="21">
                  <c:v>20</c:v>
                </c:pt>
                <c:pt idx="22">
                  <c:v>23</c:v>
                </c:pt>
                <c:pt idx="23">
                  <c:v>27</c:v>
                </c:pt>
                <c:pt idx="24">
                  <c:v>19</c:v>
                </c:pt>
                <c:pt idx="25">
                  <c:v>22</c:v>
                </c:pt>
                <c:pt idx="26">
                  <c:v>18.5</c:v>
                </c:pt>
                <c:pt idx="27">
                  <c:v>23</c:v>
                </c:pt>
                <c:pt idx="28">
                  <c:v>21</c:v>
                </c:pt>
                <c:pt idx="29">
                  <c:v>23</c:v>
                </c:pt>
                <c:pt idx="30">
                  <c:v>23</c:v>
                </c:pt>
                <c:pt idx="31">
                  <c:v>24</c:v>
                </c:pt>
                <c:pt idx="32">
                  <c:v>21.5</c:v>
                </c:pt>
                <c:pt idx="33">
                  <c:v>21</c:v>
                </c:pt>
                <c:pt idx="34">
                  <c:v>23</c:v>
                </c:pt>
                <c:pt idx="35">
                  <c:v>23</c:v>
                </c:pt>
                <c:pt idx="36">
                  <c:v>7</c:v>
                </c:pt>
                <c:pt idx="37">
                  <c:v>30</c:v>
                </c:pt>
                <c:pt idx="38">
                  <c:v>26.5</c:v>
                </c:pt>
                <c:pt idx="39">
                  <c:v>27</c:v>
                </c:pt>
                <c:pt idx="40">
                  <c:v>23</c:v>
                </c:pt>
                <c:pt idx="41">
                  <c:v>30</c:v>
                </c:pt>
                <c:pt idx="42">
                  <c:v>19.5</c:v>
                </c:pt>
                <c:pt idx="43">
                  <c:v>31</c:v>
                </c:pt>
                <c:pt idx="44">
                  <c:v>23.5</c:v>
                </c:pt>
                <c:pt idx="45">
                  <c:v>21</c:v>
                </c:pt>
                <c:pt idx="46">
                  <c:v>25.5</c:v>
                </c:pt>
                <c:pt idx="47">
                  <c:v>29</c:v>
                </c:pt>
                <c:pt idx="48">
                  <c:v>23</c:v>
                </c:pt>
                <c:pt idx="49">
                  <c:v>24</c:v>
                </c:pt>
                <c:pt idx="50">
                  <c:v>27</c:v>
                </c:pt>
                <c:pt idx="51">
                  <c:v>26.5</c:v>
                </c:pt>
                <c:pt idx="52">
                  <c:v>31</c:v>
                </c:pt>
                <c:pt idx="53">
                  <c:v>30.5</c:v>
                </c:pt>
                <c:pt idx="54">
                  <c:v>25</c:v>
                </c:pt>
                <c:pt idx="55">
                  <c:v>25</c:v>
                </c:pt>
                <c:pt idx="56">
                  <c:v>29.5</c:v>
                </c:pt>
                <c:pt idx="57">
                  <c:v>30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24</c:v>
                </c:pt>
                <c:pt idx="62">
                  <c:v>16.5</c:v>
                </c:pt>
                <c:pt idx="63">
                  <c:v>24</c:v>
                </c:pt>
                <c:pt idx="64">
                  <c:v>34</c:v>
                </c:pt>
                <c:pt idx="65">
                  <c:v>24</c:v>
                </c:pt>
                <c:pt idx="66">
                  <c:v>26</c:v>
                </c:pt>
                <c:pt idx="67">
                  <c:v>22.5</c:v>
                </c:pt>
                <c:pt idx="68">
                  <c:v>26</c:v>
                </c:pt>
                <c:pt idx="69">
                  <c:v>17</c:v>
                </c:pt>
                <c:pt idx="70">
                  <c:v>15</c:v>
                </c:pt>
                <c:pt idx="71">
                  <c:v>28.5</c:v>
                </c:pt>
                <c:pt idx="72">
                  <c:v>16</c:v>
                </c:pt>
                <c:pt idx="73">
                  <c:v>23</c:v>
                </c:pt>
                <c:pt idx="74">
                  <c:v>16.5</c:v>
                </c:pt>
                <c:pt idx="75">
                  <c:v>28</c:v>
                </c:pt>
                <c:pt idx="76">
                  <c:v>31.5</c:v>
                </c:pt>
                <c:pt idx="77">
                  <c:v>23</c:v>
                </c:pt>
                <c:pt idx="78">
                  <c:v>27</c:v>
                </c:pt>
                <c:pt idx="79">
                  <c:v>19</c:v>
                </c:pt>
                <c:pt idx="80">
                  <c:v>14</c:v>
                </c:pt>
                <c:pt idx="81">
                  <c:v>17.5</c:v>
                </c:pt>
                <c:pt idx="82">
                  <c:v>19.5</c:v>
                </c:pt>
                <c:pt idx="83">
                  <c:v>19</c:v>
                </c:pt>
                <c:pt idx="84">
                  <c:v>15.5</c:v>
                </c:pt>
                <c:pt idx="85">
                  <c:v>18.5</c:v>
                </c:pt>
                <c:pt idx="86">
                  <c:v>21</c:v>
                </c:pt>
                <c:pt idx="87">
                  <c:v>14</c:v>
                </c:pt>
                <c:pt idx="88">
                  <c:v>16</c:v>
                </c:pt>
                <c:pt idx="89">
                  <c:v>17.5</c:v>
                </c:pt>
                <c:pt idx="90">
                  <c:v>20.5</c:v>
                </c:pt>
                <c:pt idx="91">
                  <c:v>21</c:v>
                </c:pt>
                <c:pt idx="92">
                  <c:v>17.5</c:v>
                </c:pt>
                <c:pt idx="93">
                  <c:v>17.5</c:v>
                </c:pt>
                <c:pt idx="94">
                  <c:v>14.5</c:v>
                </c:pt>
                <c:pt idx="95">
                  <c:v>15.5</c:v>
                </c:pt>
                <c:pt idx="96">
                  <c:v>18.5</c:v>
                </c:pt>
                <c:pt idx="97">
                  <c:v>17.5</c:v>
                </c:pt>
                <c:pt idx="98">
                  <c:v>17.5</c:v>
                </c:pt>
                <c:pt idx="99">
                  <c:v>14.5</c:v>
                </c:pt>
                <c:pt idx="100">
                  <c:v>22</c:v>
                </c:pt>
                <c:pt idx="101">
                  <c:v>17.5</c:v>
                </c:pt>
                <c:pt idx="102">
                  <c:v>16.5</c:v>
                </c:pt>
                <c:pt idx="103">
                  <c:v>17.5</c:v>
                </c:pt>
                <c:pt idx="104">
                  <c:v>17</c:v>
                </c:pt>
                <c:pt idx="105">
                  <c:v>16.5</c:v>
                </c:pt>
                <c:pt idx="106">
                  <c:v>18.5</c:v>
                </c:pt>
                <c:pt idx="107">
                  <c:v>17.5</c:v>
                </c:pt>
                <c:pt idx="108">
                  <c:v>16</c:v>
                </c:pt>
                <c:pt idx="109">
                  <c:v>21</c:v>
                </c:pt>
                <c:pt idx="110">
                  <c:v>17.5</c:v>
                </c:pt>
                <c:pt idx="111">
                  <c:v>18.5</c:v>
                </c:pt>
                <c:pt idx="112">
                  <c:v>18.5</c:v>
                </c:pt>
                <c:pt idx="113">
                  <c:v>21</c:v>
                </c:pt>
                <c:pt idx="114">
                  <c:v>18.5</c:v>
                </c:pt>
                <c:pt idx="115">
                  <c:v>13</c:v>
                </c:pt>
                <c:pt idx="116">
                  <c:v>19</c:v>
                </c:pt>
                <c:pt idx="117">
                  <c:v>20</c:v>
                </c:pt>
                <c:pt idx="118">
                  <c:v>21.5</c:v>
                </c:pt>
                <c:pt idx="119">
                  <c:v>15.5</c:v>
                </c:pt>
                <c:pt idx="120">
                  <c:v>16.5</c:v>
                </c:pt>
                <c:pt idx="121">
                  <c:v>17</c:v>
                </c:pt>
                <c:pt idx="122">
                  <c:v>16</c:v>
                </c:pt>
                <c:pt idx="123">
                  <c:v>16</c:v>
                </c:pt>
                <c:pt idx="124">
                  <c:v>11.5</c:v>
                </c:pt>
                <c:pt idx="125">
                  <c:v>13</c:v>
                </c:pt>
                <c:pt idx="126">
                  <c:v>17</c:v>
                </c:pt>
                <c:pt idx="127">
                  <c:v>16</c:v>
                </c:pt>
                <c:pt idx="128">
                  <c:v>13</c:v>
                </c:pt>
                <c:pt idx="129">
                  <c:v>9.5</c:v>
                </c:pt>
                <c:pt idx="130">
                  <c:v>18</c:v>
                </c:pt>
                <c:pt idx="131">
                  <c:v>16</c:v>
                </c:pt>
                <c:pt idx="132">
                  <c:v>16</c:v>
                </c:pt>
                <c:pt idx="133">
                  <c:v>18</c:v>
                </c:pt>
                <c:pt idx="134">
                  <c:v>16</c:v>
                </c:pt>
                <c:pt idx="135">
                  <c:v>18</c:v>
                </c:pt>
                <c:pt idx="136">
                  <c:v>15.5</c:v>
                </c:pt>
                <c:pt idx="137">
                  <c:v>16</c:v>
                </c:pt>
                <c:pt idx="138">
                  <c:v>18</c:v>
                </c:pt>
                <c:pt idx="139">
                  <c:v>18</c:v>
                </c:pt>
                <c:pt idx="140">
                  <c:v>15.5</c:v>
                </c:pt>
                <c:pt idx="141">
                  <c:v>19</c:v>
                </c:pt>
                <c:pt idx="142">
                  <c:v>14</c:v>
                </c:pt>
                <c:pt idx="143">
                  <c:v>18</c:v>
                </c:pt>
                <c:pt idx="144">
                  <c:v>12</c:v>
                </c:pt>
                <c:pt idx="145">
                  <c:v>14</c:v>
                </c:pt>
                <c:pt idx="146">
                  <c:v>16</c:v>
                </c:pt>
                <c:pt idx="147">
                  <c:v>13</c:v>
                </c:pt>
                <c:pt idx="148">
                  <c:v>11</c:v>
                </c:pt>
                <c:pt idx="149">
                  <c:v>11.5</c:v>
                </c:pt>
                <c:pt idx="150">
                  <c:v>18</c:v>
                </c:pt>
                <c:pt idx="151">
                  <c:v>16</c:v>
                </c:pt>
                <c:pt idx="152">
                  <c:v>16</c:v>
                </c:pt>
                <c:pt idx="153">
                  <c:v>12</c:v>
                </c:pt>
                <c:pt idx="154">
                  <c:v>14</c:v>
                </c:pt>
                <c:pt idx="155">
                  <c:v>16</c:v>
                </c:pt>
                <c:pt idx="156">
                  <c:v>14</c:v>
                </c:pt>
                <c:pt idx="157">
                  <c:v>13</c:v>
                </c:pt>
                <c:pt idx="158">
                  <c:v>17</c:v>
                </c:pt>
                <c:pt idx="159">
                  <c:v>11</c:v>
                </c:pt>
                <c:pt idx="160">
                  <c:v>15.5</c:v>
                </c:pt>
                <c:pt idx="161">
                  <c:v>13</c:v>
                </c:pt>
                <c:pt idx="162">
                  <c:v>14</c:v>
                </c:pt>
                <c:pt idx="16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F-4D45-AB16-82C68E421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99439"/>
        <c:axId val="148546047"/>
      </c:scatterChart>
      <c:valAx>
        <c:axId val="152859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6047"/>
        <c:crosses val="autoZero"/>
        <c:crossBetween val="midCat"/>
      </c:valAx>
      <c:valAx>
        <c:axId val="1485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9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2</xdr:row>
      <xdr:rowOff>0</xdr:rowOff>
    </xdr:from>
    <xdr:to>
      <xdr:col>12</xdr:col>
      <xdr:colOff>12700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29C3F-15E7-4785-B85D-533B04A83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08.558860532408" createdVersion="7" refreshedVersion="7" minRefreshableVersion="3" recordCount="180" xr:uid="{2A1ACA52-8D03-47E4-BE22-84BCB7299FAB}">
  <cacheSource type="worksheet">
    <worksheetSource ref="A1:G168" sheet="All Scores"/>
  </cacheSource>
  <cacheFields count="11">
    <cacheField name="source" numFmtId="0">
      <sharedItems containsBlank="1" count="5">
        <s v="cd_pw"/>
        <s v="cd_ch"/>
        <s v="ucd_pw"/>
        <s v="ucd_ch"/>
        <m/>
      </sharedItems>
    </cacheField>
    <cacheField name="rank" numFmtId="0">
      <sharedItems containsString="0" containsBlank="1" containsNumber="1" containsInteger="1" minValue="1" maxValue="48"/>
    </cacheField>
    <cacheField name="case_id" numFmtId="0">
      <sharedItems containsString="0" containsBlank="1" containsNumber="1" containsInteger="1" minValue="68059" maxValue="70291"/>
    </cacheField>
    <cacheField name="total_score" numFmtId="0">
      <sharedItems containsString="0" containsBlank="1" containsNumber="1" minValue="5.5" maxValue="53.5"/>
    </cacheField>
    <cacheField name="max_score" numFmtId="0">
      <sharedItems containsString="0" containsBlank="1" containsNumber="1" containsInteger="1" minValue="18" maxValue="50"/>
    </cacheField>
    <cacheField name="score_pct" numFmtId="0">
      <sharedItems containsString="0" containsBlank="1" containsNumber="1" minValue="14.6" maxValue="130.6"/>
    </cacheField>
    <cacheField name="overall_assessment" numFmtId="0">
      <sharedItems containsBlank="1"/>
    </cacheField>
    <cacheField name="domain" numFmtId="0">
      <sharedItems containsBlank="1"/>
    </cacheField>
    <cacheField name="model" numFmtId="0">
      <sharedItems containsBlank="1"/>
    </cacheField>
    <cacheField name="grade" numFmtId="0">
      <sharedItems containsBlank="1" containsMixedTypes="1" containsNumber="1" minValue="0" maxValue="34" count="44">
        <e v="#N/A"/>
        <n v="15"/>
        <n v="21"/>
        <n v="18.5"/>
        <n v="24"/>
        <n v="27"/>
        <n v="23"/>
        <n v="19"/>
        <n v="25.5"/>
        <n v="23.5"/>
        <n v="20"/>
        <n v="22"/>
        <n v="21.5"/>
        <n v="7"/>
        <n v="30"/>
        <n v="26.5"/>
        <n v="19.5"/>
        <n v="31"/>
        <n v="29"/>
        <n v="30.5"/>
        <n v="25"/>
        <n v="29.5"/>
        <n v="16.5"/>
        <n v="34"/>
        <n v="26"/>
        <n v="22.5"/>
        <n v="17"/>
        <n v="28.5"/>
        <n v="16"/>
        <n v="28"/>
        <n v="31.5"/>
        <n v="0"/>
        <n v="14"/>
        <n v="17.5"/>
        <n v="15.5"/>
        <n v="20.5"/>
        <n v="14.5"/>
        <n v="13"/>
        <n v="11.5"/>
        <n v="9.5"/>
        <n v="18"/>
        <n v="12"/>
        <n v="11"/>
        <m/>
      </sharedItems>
    </cacheField>
    <cacheField name="check" numFmtId="0">
      <sharedItems containsString="0" containsBlank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n v="1"/>
    <n v="70229"/>
    <n v="23.5"/>
    <n v="18"/>
    <n v="130.6"/>
    <s v="The case model exceeds the guidelines by offering valid alternative implementations and fully satisfying all mapped guidelines."/>
    <s v="cd"/>
    <s v="pw"/>
    <x v="0"/>
    <n v="0"/>
  </r>
  <r>
    <x v="0"/>
    <n v="2"/>
    <n v="70213"/>
    <n v="22"/>
    <n v="18"/>
    <n v="122.2"/>
    <s v="The case model exceeds guideline compliance by incorporating several valid alternatives not explicitly outlined in the guidelines."/>
    <s v="cd"/>
    <s v="pw"/>
    <x v="1"/>
    <n v="1"/>
  </r>
  <r>
    <x v="0"/>
    <n v="3"/>
    <n v="70264"/>
    <n v="21"/>
    <n v="18"/>
    <n v="116.7"/>
    <s v="The case model exceeds expectations, fully satisfying all domain guidelines and providing additional valuable modelling alternatives."/>
    <s v="cd"/>
    <s v="pw"/>
    <x v="2"/>
    <n v="1"/>
  </r>
  <r>
    <x v="0"/>
    <n v="4"/>
    <n v="70279"/>
    <n v="21"/>
    <n v="18"/>
    <n v="116.7"/>
    <s v="The case model effectively satisfies all guidelines, with additional valid alternative enhancements, exceeding the minimum requirements."/>
    <s v="cd"/>
    <s v="pw"/>
    <x v="3"/>
    <n v="1"/>
  </r>
  <r>
    <x v="0"/>
    <n v="5"/>
    <n v="70205"/>
    <n v="19.5"/>
    <n v="18"/>
    <n v="108.3"/>
    <s v="The case model exceeds all guideline requirements with multiple valid alternative modeling choices."/>
    <s v="cd"/>
    <s v="pw"/>
    <x v="4"/>
    <n v="1"/>
  </r>
  <r>
    <x v="0"/>
    <n v="6"/>
    <n v="70238"/>
    <n v="19.5"/>
    <n v="18"/>
    <n v="108.3"/>
    <s v="The case model exceeds the domain guidelines requirements through comprehensive modeling and valid alternative enhancements."/>
    <s v="cd"/>
    <s v="pw"/>
    <x v="4"/>
    <n v="1"/>
  </r>
  <r>
    <x v="0"/>
    <n v="7"/>
    <n v="70228"/>
    <n v="18.25"/>
    <n v="18"/>
    <n v="101.4"/>
    <s v="The case model satisfies all guidelines and includes valuable alternatives, although it contains a minor, low-severity domain error."/>
    <s v="cd"/>
    <s v="pw"/>
    <x v="4"/>
    <n v="1"/>
  </r>
  <r>
    <x v="0"/>
    <n v="8"/>
    <n v="70212"/>
    <n v="18"/>
    <n v="18"/>
    <n v="100"/>
    <s v="The case model satisfies all domain guidelines with comprehensive coverage, representing all guidelines with satisfactory compliance."/>
    <s v="cd"/>
    <s v="pw"/>
    <x v="5"/>
    <n v="1"/>
  </r>
  <r>
    <x v="0"/>
    <n v="9"/>
    <n v="70291"/>
    <n v="18"/>
    <n v="18"/>
    <n v="100"/>
    <s v="The case model successfully meets all domain guideline requirements and represents valid extensions, achieving a perfect compliance score."/>
    <s v="cd"/>
    <s v="pw"/>
    <x v="2"/>
    <n v="1"/>
  </r>
  <r>
    <x v="0"/>
    <n v="10"/>
    <n v="70250"/>
    <n v="17.25"/>
    <n v="18"/>
    <n v="95.8"/>
    <s v="The case model effectively complies with 95.8% of the domain guidelines and includes several valid alternative modeling decisions."/>
    <s v="cd"/>
    <s v="pw"/>
    <x v="4"/>
    <n v="1"/>
  </r>
  <r>
    <x v="0"/>
    <n v="11"/>
    <n v="70216"/>
    <n v="18"/>
    <n v="19"/>
    <n v="94.7"/>
    <s v="The case model exhibits strong compliance with the domain guidelines, effectively covering most guidelines with robust evidence and an innovative approach."/>
    <s v="cd"/>
    <s v="pw"/>
    <x v="6"/>
    <n v="1"/>
  </r>
  <r>
    <x v="0"/>
    <n v="12"/>
    <n v="70239"/>
    <n v="17"/>
    <n v="18"/>
    <n v="94.4"/>
    <s v="The case model effectively complies with most guidelines, with strong mapping and valid alternatives contributing to a high score."/>
    <s v="cd"/>
    <s v="pw"/>
    <x v="6"/>
    <n v="1"/>
  </r>
  <r>
    <x v="0"/>
    <n v="13"/>
    <n v="70252"/>
    <n v="17"/>
    <n v="18"/>
    <n v="94.4"/>
    <s v="The case model covers the operations and requirements of the domain effectively with minor oversights in operationalization and external integrations."/>
    <s v="cd"/>
    <s v="pw"/>
    <x v="7"/>
    <n v="1"/>
  </r>
  <r>
    <x v="0"/>
    <n v="14"/>
    <n v="70248"/>
    <n v="16.5"/>
    <n v="18"/>
    <n v="91.7"/>
    <s v="The case model demonstrates strong compliance with the guidelines, fulfilling most requirements and adequately handling alternative modelling choices."/>
    <s v="cd"/>
    <s v="pw"/>
    <x v="6"/>
    <n v="1"/>
  </r>
  <r>
    <x v="0"/>
    <n v="15"/>
    <n v="70197"/>
    <n v="16.25"/>
    <n v="18"/>
    <n v="90.3"/>
    <s v="The case model has achieved a high level of compliance with the guidelines, with most requirements fully satisfied and a few partially addressed."/>
    <s v="cd"/>
    <s v="pw"/>
    <x v="6"/>
    <n v="1"/>
  </r>
  <r>
    <x v="0"/>
    <n v="16"/>
    <n v="70199"/>
    <n v="16"/>
    <n v="18"/>
    <n v="88.9"/>
    <s v="The case model largely satisfies the guidelines with only minor gaps mostly due to partially satisfied compliance."/>
    <s v="cd"/>
    <s v="pw"/>
    <x v="8"/>
    <n v="1"/>
  </r>
  <r>
    <x v="0"/>
    <n v="17"/>
    <n v="70233"/>
    <n v="16"/>
    <n v="18"/>
    <n v="88.9"/>
    <s v="The case model demonstrates strong compliance with domain guidelines, with just a few domain aspects needing better integration."/>
    <s v="cd"/>
    <s v="pw"/>
    <x v="5"/>
    <n v="1"/>
  </r>
  <r>
    <x v="0"/>
    <n v="18"/>
    <n v="70271"/>
    <n v="15.75"/>
    <n v="18"/>
    <n v="87.5"/>
    <s v="The case model demonstrates strong compliance with domain guidelines, with a few areas requiring clarification or alternative modeling."/>
    <s v="cd"/>
    <s v="pw"/>
    <x v="0"/>
    <n v="0"/>
  </r>
  <r>
    <x v="0"/>
    <n v="19"/>
    <n v="70234"/>
    <n v="15.5"/>
    <n v="18"/>
    <n v="86.1"/>
    <s v="The case model demonstrates high compliance with domain guidelines, though some areas are partially satisfied."/>
    <s v="cd"/>
    <s v="pw"/>
    <x v="6"/>
    <n v="1"/>
  </r>
  <r>
    <x v="0"/>
    <n v="20"/>
    <n v="70249"/>
    <n v="15.5"/>
    <n v="18"/>
    <n v="86.1"/>
    <s v="The case model effectively satisfies most of the relevant guidelines, with minor areas for improvement in explicit operations and reporting functionalities."/>
    <s v="cd"/>
    <s v="pw"/>
    <x v="7"/>
    <n v="1"/>
  </r>
  <r>
    <x v="0"/>
    <n v="21"/>
    <n v="70255"/>
    <n v="15.5"/>
    <n v="18"/>
    <n v="86.1"/>
    <s v="The case model demonstrates strong compliance with most guidelines, excelling in defined classes and attributes, with minor gaps in explicit detailing for some requirements."/>
    <s v="cd"/>
    <s v="pw"/>
    <x v="4"/>
    <n v="1"/>
  </r>
  <r>
    <x v="0"/>
    <n v="22"/>
    <n v="70256"/>
    <n v="15.25"/>
    <n v="18"/>
    <n v="84.7"/>
    <s v="The case model is well-compliant with domain guidelines, achieving a high score with only minor issues in certain areas."/>
    <s v="cd"/>
    <s v="pw"/>
    <x v="4"/>
    <n v="1"/>
  </r>
  <r>
    <x v="0"/>
    <n v="23"/>
    <n v="70282"/>
    <n v="15"/>
    <n v="18"/>
    <n v="83.3"/>
    <s v="The case model meets most guidelines but has room for improvement in explicitly modeling compliance components."/>
    <s v="cd"/>
    <s v="pw"/>
    <x v="9"/>
    <n v="1"/>
  </r>
  <r>
    <x v="0"/>
    <n v="24"/>
    <n v="70204"/>
    <n v="14.5"/>
    <n v="18"/>
    <n v="80.599999999999994"/>
    <s v="The case model demonstrates a strong level of compliance with the domain guidelines, though there are gaps in detailing specific aspects such as available parking spaces and club member benefits."/>
    <s v="cd"/>
    <s v="pw"/>
    <x v="10"/>
    <n v="1"/>
  </r>
  <r>
    <x v="0"/>
    <n v="25"/>
    <n v="70236"/>
    <n v="14.5"/>
    <n v="18"/>
    <n v="80.599999999999994"/>
    <s v="The case model is well-aligned with domain guidelines, showing full compliance with most key aspects and partial support for reporting functionalities."/>
    <s v="cd"/>
    <s v="pw"/>
    <x v="6"/>
    <n v="1"/>
  </r>
  <r>
    <x v="0"/>
    <n v="26"/>
    <n v="70276"/>
    <n v="14"/>
    <n v="18"/>
    <n v="77.8"/>
    <s v="The case model satisfies the majority of the guidelines with a few minor issues remaining, particularly around special discount operations."/>
    <s v="cd"/>
    <s v="pw"/>
    <x v="5"/>
    <n v="1"/>
  </r>
  <r>
    <x v="0"/>
    <n v="27"/>
    <n v="70240"/>
    <n v="13.5"/>
    <n v="18"/>
    <n v="75"/>
    <s v="The case model satisfies many of the guidelines, although several critical domain processes are not fully operationalized."/>
    <s v="cd"/>
    <s v="pw"/>
    <x v="7"/>
    <n v="2"/>
  </r>
  <r>
    <x v="0"/>
    <n v="28"/>
    <n v="70277"/>
    <n v="13.5"/>
    <n v="18"/>
    <n v="75"/>
    <s v="The case model satisfies a majority of the guidelines but has notable domain and language errors that need addressing for full compliance."/>
    <s v="cd"/>
    <s v="pw"/>
    <x v="11"/>
    <n v="1"/>
  </r>
  <r>
    <x v="0"/>
    <n v="29"/>
    <n v="70279"/>
    <n v="13.5"/>
    <n v="18"/>
    <n v="75"/>
    <s v="The case model displays strong compliance with the guidelines, although some aspects, particularly related to explicit logic and optional features, could be further refined."/>
    <s v="cd"/>
    <s v="pw"/>
    <x v="3"/>
    <n v="1"/>
  </r>
  <r>
    <x v="0"/>
    <n v="30"/>
    <n v="70219"/>
    <n v="12.5"/>
    <n v="18"/>
    <n v="69.400000000000006"/>
    <s v="The UML Class Diagram aligns well with the domain guidelines but there are some areas with partial satisfaction and an identified domain mistake."/>
    <s v="cd"/>
    <s v="pw"/>
    <x v="6"/>
    <n v="1"/>
  </r>
  <r>
    <x v="0"/>
    <n v="31"/>
    <n v="70200"/>
    <n v="12"/>
    <n v="18"/>
    <n v="66.7"/>
    <s v="The case model meets several guidelines effectively but misses key domain functionalities and operational details."/>
    <s v="cd"/>
    <s v="pw"/>
    <x v="2"/>
    <n v="1"/>
  </r>
  <r>
    <x v="0"/>
    <n v="32"/>
    <n v="70283"/>
    <n v="12"/>
    <n v="18"/>
    <n v="66.7"/>
    <s v="The case model satisfies most guidelines but misses key compliance elements, affecting system alignment."/>
    <s v="cd"/>
    <s v="pw"/>
    <x v="6"/>
    <n v="1"/>
  </r>
  <r>
    <x v="0"/>
    <n v="33"/>
    <n v="70278"/>
    <n v="11.5"/>
    <n v="18"/>
    <n v="63.9"/>
    <s v="The model satisfies the majority of the guidelines but lacks implementation for certain reports and essential operations like payment processing and sensor data management."/>
    <s v="cd"/>
    <s v="pw"/>
    <x v="6"/>
    <n v="1"/>
  </r>
  <r>
    <x v="0"/>
    <n v="34"/>
    <n v="70245"/>
    <n v="11.25"/>
    <n v="18"/>
    <n v="62.5"/>
    <s v="The case model demonstrates a good level of compliance, but several areas still require enhancement, especially regarding report generation logic and explicit modeling."/>
    <s v="cd"/>
    <s v="pw"/>
    <x v="4"/>
    <n v="1"/>
  </r>
  <r>
    <x v="0"/>
    <n v="35"/>
    <n v="70251"/>
    <n v="11.25"/>
    <n v="18"/>
    <n v="62.5"/>
    <s v="The case model is partially compliant, meeting many guidelines but missing several critical operationalizations in key areas."/>
    <s v="cd"/>
    <s v="pw"/>
    <x v="12"/>
    <n v="1"/>
  </r>
  <r>
    <x v="0"/>
    <n v="36"/>
    <n v="70241"/>
    <n v="11"/>
    <n v="18"/>
    <n v="61.1"/>
    <s v="The case model successfully addresses many domain guidelines, but key functionalities related to administrator operations, gate sensors, conveyor mechanisms, SMS notifications, payment interactions, and client preferences are missing."/>
    <s v="cd"/>
    <s v="pw"/>
    <x v="2"/>
    <n v="1"/>
  </r>
  <r>
    <x v="0"/>
    <n v="37"/>
    <n v="70248"/>
    <n v="10.5"/>
    <n v="18"/>
    <n v="58.3"/>
    <s v="The case model demonstrates good coverage of guidelines but has operational and domain implementation gaps requiring attention."/>
    <s v="cd"/>
    <s v="pw"/>
    <x v="6"/>
    <n v="1"/>
  </r>
  <r>
    <x v="0"/>
    <n v="38"/>
    <n v="70198"/>
    <n v="10"/>
    <n v="18"/>
    <n v="55.6"/>
    <s v="The case model satisfies the primary guidelines related to class definitions but lacks several operational aspects and detailing for full guideline compliance."/>
    <s v="cd"/>
    <s v="pw"/>
    <x v="0"/>
    <n v="0"/>
  </r>
  <r>
    <x v="0"/>
    <n v="39"/>
    <n v="70229"/>
    <n v="9.75"/>
    <n v="18"/>
    <n v="54.2"/>
    <s v="The case model satisfies many guidelines but has significant domain omissions that need addressing for full compliance."/>
    <s v="cd"/>
    <s v="pw"/>
    <x v="0"/>
    <n v="0"/>
  </r>
  <r>
    <x v="0"/>
    <n v="40"/>
    <n v="70278"/>
    <n v="6"/>
    <n v="18"/>
    <n v="33.299999999999997"/>
    <s v="The case model thoroughly satisfies core domain requirements, but several high-severity domain mistakes need to be addressed for full compliance."/>
    <s v="cd"/>
    <s v="pw"/>
    <x v="6"/>
    <n v="1"/>
  </r>
  <r>
    <x v="0"/>
    <n v="41"/>
    <n v="70223"/>
    <n v="5.5"/>
    <n v="18"/>
    <n v="30.6"/>
    <s v="The case model meets a few guidelines and contains useful alternatives, but overall compliance is low."/>
    <s v="cd"/>
    <s v="pw"/>
    <x v="13"/>
    <n v="1"/>
  </r>
  <r>
    <x v="1"/>
    <n v="1"/>
    <n v="68163"/>
    <n v="29.5"/>
    <n v="26"/>
    <n v="113.5"/>
    <s v="The case model fully satisfies all guidelines and demonstrates exceptional use of alternative modeling choices for enhanced clarity and functionality."/>
    <s v="cd"/>
    <s v="ch"/>
    <x v="14"/>
    <n v="1"/>
  </r>
  <r>
    <x v="1"/>
    <n v="2"/>
    <n v="68074"/>
    <n v="28"/>
    <n v="26"/>
    <n v="107.7"/>
    <s v="The case model fully satisfies all guidelines and includes sensible extensions, reflecting a comprehensive understanding of the Cheers system."/>
    <s v="cd"/>
    <s v="ch"/>
    <x v="15"/>
    <n v="1"/>
  </r>
  <r>
    <x v="1"/>
    <n v="3"/>
    <n v="68075"/>
    <n v="27.5"/>
    <n v="26"/>
    <n v="105.8"/>
    <s v="The case model satisfactorily represents most of the domain guidelines and includes innovative modelling choices beyond the guidelines."/>
    <s v="cd"/>
    <s v="ch"/>
    <x v="5"/>
    <n v="1"/>
  </r>
  <r>
    <x v="1"/>
    <n v="4"/>
    <n v="68111"/>
    <n v="27.5"/>
    <n v="26"/>
    <n v="105.8"/>
    <s v="The case model is well-aligned with most guidelines, showing only minor gaps in explicit inventory update processes."/>
    <s v="cd"/>
    <s v="ch"/>
    <x v="6"/>
    <n v="1"/>
  </r>
  <r>
    <x v="1"/>
    <n v="5"/>
    <n v="68115"/>
    <n v="27.5"/>
    <n v="26"/>
    <n v="105.8"/>
    <s v="The case model demonstrates excellent compliance with the domain guidelines, exceeding traditional scoring expectations due to effective alternative modelling choices."/>
    <s v="cd"/>
    <s v="ch"/>
    <x v="0"/>
    <n v="0"/>
  </r>
  <r>
    <x v="1"/>
    <n v="6"/>
    <n v="68092"/>
    <n v="26"/>
    <n v="26"/>
    <n v="100"/>
    <s v="The case model fully meets all domain guidelines, achieving a perfect compliance score."/>
    <s v="cd"/>
    <s v="ch"/>
    <x v="14"/>
    <n v="1"/>
  </r>
  <r>
    <x v="1"/>
    <n v="7"/>
    <n v="68153"/>
    <n v="26"/>
    <n v="26"/>
    <n v="100"/>
    <s v="The case model comprehensively satisfies the majority of the guidelines, with minor areas for improvements identified."/>
    <s v="cd"/>
    <s v="ch"/>
    <x v="16"/>
    <n v="1"/>
  </r>
  <r>
    <x v="1"/>
    <n v="8"/>
    <n v="68067"/>
    <n v="25.5"/>
    <n v="26"/>
    <n v="98.1"/>
    <s v="The case model satisfies most of the guidelines, with minor improvements needed in employee ordering handling."/>
    <s v="cd"/>
    <s v="ch"/>
    <x v="17"/>
    <n v="1"/>
  </r>
  <r>
    <x v="1"/>
    <n v="9"/>
    <n v="68097"/>
    <n v="25.5"/>
    <n v="26"/>
    <n v="98.1"/>
    <s v="The case model demonstrates strong compliance with domain guidelines, with most guidelines fully satisfied and only a few areas needing further detail."/>
    <s v="cd"/>
    <s v="ch"/>
    <x v="9"/>
    <n v="1"/>
  </r>
  <r>
    <x v="1"/>
    <n v="10"/>
    <n v="68160"/>
    <n v="25.5"/>
    <n v="26"/>
    <n v="98.1"/>
    <s v="The case model demonstrates strong compliance with domain guidelines, effectively addressing most requirements with noteworthy alternative solutions."/>
    <s v="cd"/>
    <s v="ch"/>
    <x v="2"/>
    <n v="1"/>
  </r>
  <r>
    <x v="1"/>
    <n v="11"/>
    <n v="68162"/>
    <n v="25.25"/>
    <n v="26"/>
    <n v="97.1"/>
    <s v="The case model is highly compliant with the domain guidelines, successfully capturing nearly all requirements with only minor areas for improvement or refinement."/>
    <s v="cd"/>
    <s v="ch"/>
    <x v="8"/>
    <n v="1"/>
  </r>
  <r>
    <x v="1"/>
    <n v="12"/>
    <n v="68139"/>
    <n v="25"/>
    <n v="26"/>
    <n v="96.2"/>
    <s v="The case model demonstrates thorough adherence to the domain guidelines with only minor areas for improvement noted."/>
    <s v="cd"/>
    <s v="ch"/>
    <x v="18"/>
    <n v="1"/>
  </r>
  <r>
    <x v="1"/>
    <n v="13"/>
    <n v="68089"/>
    <n v="24.75"/>
    <n v="26"/>
    <n v="95.2"/>
    <s v="The case model demonstrates strong compliance with the domain guidelines, with minor improvements possible in employee order representation and recipe link detailing."/>
    <s v="cd"/>
    <s v="ch"/>
    <x v="6"/>
    <n v="1"/>
  </r>
  <r>
    <x v="1"/>
    <n v="14"/>
    <n v="68077"/>
    <n v="24.5"/>
    <n v="26"/>
    <n v="94.2"/>
    <s v="The case model demonstrates strong guideline compliance with minor opportunities for enhancement in explicit tracking and detailing."/>
    <s v="cd"/>
    <s v="ch"/>
    <x v="0"/>
    <n v="0"/>
  </r>
  <r>
    <x v="1"/>
    <n v="15"/>
    <n v="68113"/>
    <n v="24.5"/>
    <n v="26"/>
    <n v="94.2"/>
    <s v="The case model is highly compliant, with most guidelines satisfied and some minor areas for improvement."/>
    <s v="cd"/>
    <s v="ch"/>
    <x v="4"/>
    <n v="1"/>
  </r>
  <r>
    <x v="1"/>
    <n v="16"/>
    <n v="68123"/>
    <n v="24.5"/>
    <n v="26"/>
    <n v="94.2"/>
    <s v="The case model is largely compliant with the guidelines, with minor exceptions related to external interactions and reporting clarity."/>
    <s v="cd"/>
    <s v="ch"/>
    <x v="5"/>
    <n v="1"/>
  </r>
  <r>
    <x v="1"/>
    <n v="17"/>
    <n v="68106"/>
    <n v="25"/>
    <n v="27"/>
    <n v="92.6"/>
    <s v="The case model demonstrates strong compliance with the guidelines, with most criteria fully met and minor areas for improvement."/>
    <s v="cd"/>
    <s v="ch"/>
    <x v="15"/>
    <n v="1"/>
  </r>
  <r>
    <x v="1"/>
    <n v="18"/>
    <n v="68061"/>
    <n v="23.75"/>
    <n v="26"/>
    <n v="91.3"/>
    <s v="The case model effectively meets most guidelines with minor improvements needed in a few areas and some language errors present."/>
    <s v="cd"/>
    <s v="ch"/>
    <x v="17"/>
    <n v="1"/>
  </r>
  <r>
    <x v="1"/>
    <n v="19"/>
    <n v="68084"/>
    <n v="23.75"/>
    <n v="26"/>
    <n v="91.3"/>
    <s v="The case model largely complies with the domain guidelines, effectively representing most requirements, though improvements are needed in representing external dependencies and employee ordering privileges."/>
    <s v="cd"/>
    <s v="ch"/>
    <x v="19"/>
    <n v="1"/>
  </r>
  <r>
    <x v="1"/>
    <n v="20"/>
    <n v="68116"/>
    <n v="23.5"/>
    <n v="26"/>
    <n v="90.4"/>
    <s v="The case model demonstrates a high level of compliance with the domain guidelines, efficiently representing most specified aspects with minor gaps and opportunities for enhancement."/>
    <s v="cd"/>
    <s v="ch"/>
    <x v="20"/>
    <n v="1"/>
  </r>
  <r>
    <x v="1"/>
    <n v="21"/>
    <n v="68118"/>
    <n v="23.5"/>
    <n v="26"/>
    <n v="90.4"/>
    <s v="The case model demonstrates strong compliance with domain guidelines, with minor areas for improvement."/>
    <s v="cd"/>
    <s v="ch"/>
    <x v="20"/>
    <n v="1"/>
  </r>
  <r>
    <x v="1"/>
    <n v="22"/>
    <n v="68122"/>
    <n v="23"/>
    <n v="26"/>
    <n v="88.5"/>
    <s v="The case model effectively meets a majority of domain guidelines, with some areas for improvement in capturing certain details."/>
    <s v="cd"/>
    <s v="ch"/>
    <x v="21"/>
    <n v="1"/>
  </r>
  <r>
    <x v="1"/>
    <n v="23"/>
    <n v="68092"/>
    <n v="22.75"/>
    <n v="26"/>
    <n v="87.5"/>
    <s v="The case model effectively covers most guidelines, with minor areas needing explicit detailing or corrections."/>
    <s v="cd"/>
    <s v="ch"/>
    <x v="14"/>
    <n v="1"/>
  </r>
  <r>
    <x v="1"/>
    <n v="24"/>
    <n v="68117"/>
    <n v="22.5"/>
    <n v="26"/>
    <n v="86.5"/>
    <s v="The case model demonstrates thorough coverage of domain requirements with a strong alignment to guidelines, achieving a high compliance percentage."/>
    <s v="cd"/>
    <s v="ch"/>
    <x v="6"/>
    <n v="2"/>
  </r>
  <r>
    <x v="1"/>
    <n v="25"/>
    <n v="68132"/>
    <n v="22.5"/>
    <n v="26"/>
    <n v="86.5"/>
    <s v="The case model is well-aligned with the domain guidelines, with most requirements satisfied and only a few areas needing improvement."/>
    <s v="cd"/>
    <s v="ch"/>
    <x v="6"/>
    <n v="1"/>
  </r>
  <r>
    <x v="1"/>
    <n v="26"/>
    <n v="68141"/>
    <n v="22.5"/>
    <n v="26"/>
    <n v="86.5"/>
    <s v="The case model demonstrates high compliance with the domain guidelines, addressing most aspects effectively with minor areas for improvement."/>
    <s v="cd"/>
    <s v="ch"/>
    <x v="6"/>
    <n v="1"/>
  </r>
  <r>
    <x v="1"/>
    <n v="27"/>
    <n v="68064"/>
    <n v="22"/>
    <n v="26"/>
    <n v="84.6"/>
    <s v="The case model for ID 68064 demonstrates a high level of compliance with domain guidelines, though some areas could benefit from additional detail or corrections."/>
    <s v="cd"/>
    <s v="ch"/>
    <x v="4"/>
    <n v="1"/>
  </r>
  <r>
    <x v="1"/>
    <n v="28"/>
    <n v="68127"/>
    <n v="22"/>
    <n v="26"/>
    <n v="84.6"/>
    <s v="The 'Cheers' case model demonstrates strong alignment with the domain guidelines, effectively covering most requirements and providing flexible alternative solutions where applicable."/>
    <s v="cd"/>
    <s v="ch"/>
    <x v="22"/>
    <n v="1"/>
  </r>
  <r>
    <x v="1"/>
    <n v="29"/>
    <n v="68138"/>
    <n v="22"/>
    <n v="26"/>
    <n v="84.6"/>
    <s v="The case model achieves strong compliance with guidelines, though lacks representation for external delivery and role-specific permissions."/>
    <s v="cd"/>
    <s v="ch"/>
    <x v="4"/>
    <n v="1"/>
  </r>
  <r>
    <x v="1"/>
    <n v="30"/>
    <n v="68148"/>
    <n v="22"/>
    <n v="26"/>
    <n v="84.6"/>
    <s v="The case model satisfies most of the guidelines, with some areas for improvement in representing external dependencies and abstract class structures."/>
    <s v="cd"/>
    <s v="ch"/>
    <x v="23"/>
    <n v="1"/>
  </r>
  <r>
    <x v="1"/>
    <n v="31"/>
    <n v="68059"/>
    <n v="21.5"/>
    <n v="26"/>
    <n v="82.7"/>
    <s v="The case model demonstrates a high level of compliance with the domain guidelines, with most guidelines either satisfied or partially satisfied."/>
    <s v="cd"/>
    <s v="ch"/>
    <x v="4"/>
    <n v="1"/>
  </r>
  <r>
    <x v="1"/>
    <n v="32"/>
    <n v="68131"/>
    <n v="21.5"/>
    <n v="26"/>
    <n v="82.7"/>
    <s v="The case model largely complies with domain guidelines, but lacks representation of external system interactions and employee order functionalities."/>
    <s v="cd"/>
    <s v="ch"/>
    <x v="24"/>
    <n v="1"/>
  </r>
  <r>
    <x v="1"/>
    <n v="33"/>
    <n v="68145"/>
    <n v="21.5"/>
    <n v="26"/>
    <n v="82.7"/>
    <s v="The case model effectively addresses the majority of guidelines but misses certain external integrations and role-based restrictions."/>
    <s v="cd"/>
    <s v="ch"/>
    <x v="25"/>
    <n v="1"/>
  </r>
  <r>
    <x v="1"/>
    <n v="34"/>
    <n v="68085"/>
    <n v="21.25"/>
    <n v="26"/>
    <n v="81.7"/>
    <s v="The case model largely complies with guidelines with minor gaps in detailing customer-specific order tracking and marketing employee functions."/>
    <s v="cd"/>
    <s v="ch"/>
    <x v="24"/>
    <n v="1"/>
  </r>
  <r>
    <x v="1"/>
    <n v="35"/>
    <n v="68124"/>
    <n v="20.5"/>
    <n v="26"/>
    <n v="78.8"/>
    <s v="The case model satisfies a majority of guidelines, demonstrating strong domain understanding with room for improvement in specific areas like urgent order processing and inventory updates."/>
    <s v="cd"/>
    <s v="ch"/>
    <x v="26"/>
    <n v="1"/>
  </r>
  <r>
    <x v="1"/>
    <n v="36"/>
    <n v="68125"/>
    <n v="20.5"/>
    <n v="26"/>
    <n v="78.8"/>
    <s v="The case model satisfies most guidelines, but improvements are needed for specific customer tracking and external data handling."/>
    <s v="cd"/>
    <s v="ch"/>
    <x v="1"/>
    <n v="1"/>
  </r>
  <r>
    <x v="1"/>
    <n v="37"/>
    <n v="68150"/>
    <n v="20.5"/>
    <n v="26"/>
    <n v="78.8"/>
    <s v="The case model satisfactorily addresses most guidelines, with a few partially satisfied and clear opportunities for improvement."/>
    <s v="cd"/>
    <s v="ch"/>
    <x v="0"/>
    <n v="0"/>
  </r>
  <r>
    <x v="1"/>
    <n v="38"/>
    <n v="68128"/>
    <n v="19.75"/>
    <n v="26"/>
    <n v="76"/>
    <s v="The case model shows good coverage of the guidelines but could benefit from improved detailing of order-related employee roles and explicit post-sale inventory updates."/>
    <s v="cd"/>
    <s v="ch"/>
    <x v="27"/>
    <n v="1"/>
  </r>
  <r>
    <x v="1"/>
    <n v="39"/>
    <n v="68156"/>
    <n v="19"/>
    <n v="26"/>
    <n v="73.099999999999994"/>
    <s v="The case model satisfies many guidelines, particularly in attribute definition and operation handling, but misses specific aspects such as handling urgent orders and employee order conditions."/>
    <s v="cd"/>
    <s v="ch"/>
    <x v="28"/>
    <n v="1"/>
  </r>
  <r>
    <x v="1"/>
    <n v="40"/>
    <n v="68111"/>
    <n v="18.75"/>
    <n v="26"/>
    <n v="72.099999999999994"/>
    <s v="The case model satisfies many key guidelines, but has several partial satisfactions and omissions, with some language mistakes affecting clarity."/>
    <s v="cd"/>
    <s v="ch"/>
    <x v="6"/>
    <n v="1"/>
  </r>
  <r>
    <x v="1"/>
    <n v="41"/>
    <n v="68086"/>
    <n v="18.5"/>
    <n v="26"/>
    <n v="71.2"/>
    <s v="The case model adequately represents many guidelines but lacks in some specific areas such as external delivery handling, wine differentiation, and role-based permissions."/>
    <s v="cd"/>
    <s v="ch"/>
    <x v="22"/>
    <n v="1"/>
  </r>
  <r>
    <x v="1"/>
    <n v="42"/>
    <n v="68121"/>
    <n v="18.25"/>
    <n v="26"/>
    <n v="70.2"/>
    <s v="The case model meets most guidelines effectively but lacks specific representations for external dependencies and some details on employee-customer equivalence in order conditions."/>
    <s v="cd"/>
    <s v="ch"/>
    <x v="29"/>
    <n v="1"/>
  </r>
  <r>
    <x v="1"/>
    <n v="43"/>
    <n v="68142"/>
    <n v="18"/>
    <n v="26"/>
    <n v="69.2"/>
    <s v="The case model meets a majority of the domain guidelines but has several areas where partial compliance or lack of specific detail reduces overall effectiveness."/>
    <s v="cd"/>
    <s v="ch"/>
    <x v="30"/>
    <n v="1"/>
  </r>
  <r>
    <x v="1"/>
    <n v="44"/>
    <n v="68099"/>
    <n v="17.5"/>
    <n v="26"/>
    <n v="67.3"/>
    <s v="The case model adequately satisfies most guidelines with some areas requiring further detail or improvement to fully align with domain expectations."/>
    <s v="cd"/>
    <s v="ch"/>
    <x v="6"/>
    <n v="1"/>
  </r>
  <r>
    <x v="1"/>
    <n v="45"/>
    <n v="68081"/>
    <n v="16"/>
    <n v="26"/>
    <n v="61.5"/>
    <s v="The case model covers several domain guidelines but lacks details on urgent orders, wine identification, and inventory tracking."/>
    <s v="cd"/>
    <s v="ch"/>
    <x v="31"/>
    <n v="1"/>
  </r>
  <r>
    <x v="1"/>
    <n v="46"/>
    <n v="68065"/>
    <n v="15"/>
    <n v="26"/>
    <n v="57.7"/>
    <s v="The case model demonstrates a moderate level of compliance with domain guidelines, but there are areas for improvement, particularly in detailing specific attributes and handling of orders."/>
    <s v="cd"/>
    <s v="ch"/>
    <x v="5"/>
    <n v="1"/>
  </r>
  <r>
    <x v="1"/>
    <n v="47"/>
    <n v="68114"/>
    <n v="15"/>
    <n v="26"/>
    <n v="57.7"/>
    <s v="The case model satisfies several guidelines but lacks coverage in others, showing room for improvement in representing the system's roles and processes more comprehensively."/>
    <s v="cd"/>
    <s v="ch"/>
    <x v="7"/>
    <n v="1"/>
  </r>
  <r>
    <x v="1"/>
    <n v="48"/>
    <n v="68158"/>
    <n v="13.75"/>
    <n v="26"/>
    <n v="52.9"/>
    <s v="The case model satisfies a majority of the guidelines partially or fully, but several domain and language issues remain unaddressed."/>
    <s v="cd"/>
    <s v="ch"/>
    <x v="32"/>
    <n v="1"/>
  </r>
  <r>
    <x v="2"/>
    <n v="1"/>
    <n v="70204"/>
    <n v="53.5"/>
    <n v="48"/>
    <n v="111.5"/>
    <s v="The case model exceeds expectations with all guidelines satisfied and additional valid alternative modeling choices enhancing clarity and functionality."/>
    <s v="ucd"/>
    <s v="pw"/>
    <x v="33"/>
    <n v="1"/>
  </r>
  <r>
    <x v="2"/>
    <n v="2"/>
    <n v="70236"/>
    <n v="53.5"/>
    <n v="48"/>
    <n v="111.5"/>
    <s v="The case model exceeds the expected compliance, with valid alternative approaches and full guideline satisfaction."/>
    <s v="ucd"/>
    <s v="pw"/>
    <x v="16"/>
    <n v="1"/>
  </r>
  <r>
    <x v="2"/>
    <n v="3"/>
    <n v="70229"/>
    <n v="52.5"/>
    <n v="48"/>
    <n v="109.4"/>
    <s v="The case model fully satisfies all guidelines, with additional valuable alternatives enhancing user interaction and system functionality."/>
    <s v="ucd"/>
    <s v="pw"/>
    <x v="0"/>
    <n v="0"/>
  </r>
  <r>
    <x v="2"/>
    <n v="4"/>
    <n v="70249"/>
    <n v="52.5"/>
    <n v="48"/>
    <n v="109.4"/>
    <s v="The case model exhibits excellent compliance with all guidelines and includes several creative operational enhancements."/>
    <s v="ucd"/>
    <s v="pw"/>
    <x v="7"/>
    <n v="1"/>
  </r>
  <r>
    <x v="2"/>
    <n v="5"/>
    <n v="70212"/>
    <n v="51.5"/>
    <n v="48"/>
    <n v="107.3"/>
    <s v="The case model exceeds expectations by satisfying all domain guidelines and incorporating creative alternative approaches."/>
    <s v="ucd"/>
    <s v="pw"/>
    <x v="34"/>
    <n v="1"/>
  </r>
  <r>
    <x v="2"/>
    <n v="6"/>
    <n v="70282"/>
    <n v="50"/>
    <n v="48"/>
    <n v="104.2"/>
    <s v="The case model exceeds full compliance with domain guidelines, demonstrating extensive alignment with mapped requirements."/>
    <s v="ucd"/>
    <s v="pw"/>
    <x v="3"/>
    <n v="1"/>
  </r>
  <r>
    <x v="2"/>
    <n v="7"/>
    <n v="70251"/>
    <n v="51"/>
    <n v="49"/>
    <n v="104.1"/>
    <s v="The case model meets and in some cases exceeds the domain guidelines with strong compliance and alternative enhancements."/>
    <s v="ucd"/>
    <s v="pw"/>
    <x v="2"/>
    <n v="1"/>
  </r>
  <r>
    <x v="2"/>
    <n v="8"/>
    <n v="70198"/>
    <n v="49.5"/>
    <n v="48"/>
    <n v="103.1"/>
    <s v="The case model demonstrates robust compliance with the domain guidelines, displaying full or partial satisfaction in almost all areas."/>
    <s v="ucd"/>
    <s v="pw"/>
    <x v="0"/>
    <n v="0"/>
  </r>
  <r>
    <x v="2"/>
    <n v="9"/>
    <n v="70240"/>
    <n v="49.5"/>
    <n v="48"/>
    <n v="103.1"/>
    <s v="The case model exhibits comprehensive guideline coverage with innovative alternatives contributing to a high compliance score."/>
    <s v="ucd"/>
    <s v="pw"/>
    <x v="32"/>
    <n v="2"/>
  </r>
  <r>
    <x v="2"/>
    <n v="10"/>
    <n v="70228"/>
    <n v="49"/>
    <n v="48"/>
    <n v="102.1"/>
    <s v="The case model demonstrates exceptional coverage and alignment with domain guidelines, with several enhancements identified."/>
    <s v="ucd"/>
    <s v="pw"/>
    <x v="28"/>
    <n v="1"/>
  </r>
  <r>
    <x v="2"/>
    <n v="11"/>
    <n v="70252"/>
    <n v="49"/>
    <n v="48"/>
    <n v="102.1"/>
    <s v="The case model exceeds expectations, with all guidelines being fully satisfied, and additional valuable alternatives noted."/>
    <s v="ucd"/>
    <s v="pw"/>
    <x v="33"/>
    <n v="1"/>
  </r>
  <r>
    <x v="2"/>
    <n v="12"/>
    <n v="70255"/>
    <n v="49"/>
    <n v="48"/>
    <n v="102.1"/>
    <s v="The overall compliance of the case model is exceptionally high, surpassing the maximum expected score due to valid alternative modeling choices enhancing usability."/>
    <s v="ucd"/>
    <s v="pw"/>
    <x v="35"/>
    <n v="1"/>
  </r>
  <r>
    <x v="2"/>
    <n v="13"/>
    <n v="70251"/>
    <n v="48.5"/>
    <n v="48"/>
    <n v="101"/>
    <s v="The case model satisfies all guidelines effectively, with some areas for improvement related to specific usage details."/>
    <s v="ucd"/>
    <s v="pw"/>
    <x v="2"/>
    <n v="1"/>
  </r>
  <r>
    <x v="2"/>
    <n v="14"/>
    <n v="70264"/>
    <n v="48.5"/>
    <n v="48"/>
    <n v="101"/>
    <s v="The case model successfully satisfies all guidelines with an additional valid alternative modeling choice."/>
    <s v="ucd"/>
    <s v="pw"/>
    <x v="33"/>
    <n v="1"/>
  </r>
  <r>
    <x v="2"/>
    <n v="15"/>
    <n v="70271"/>
    <n v="48.5"/>
    <n v="48"/>
    <n v="101"/>
    <s v="The case model for ParkWise is exceptionally well-aligned with the domain guidelines, meeting most with additional coherent alternatives."/>
    <s v="ucd"/>
    <s v="pw"/>
    <x v="0"/>
    <n v="0"/>
  </r>
  <r>
    <x v="2"/>
    <n v="16"/>
    <n v="70278"/>
    <n v="48.5"/>
    <n v="48"/>
    <n v="101"/>
    <s v="The case model demonstrates excellent compliance, addressing nearly all guidelines with some alternative valid solutions presented."/>
    <s v="ucd"/>
    <s v="pw"/>
    <x v="33"/>
    <n v="1"/>
  </r>
  <r>
    <x v="2"/>
    <n v="17"/>
    <n v="70279"/>
    <n v="48.5"/>
    <n v="48"/>
    <n v="101"/>
    <s v="The case model shows a strong alignment with the domain guidelines with some minor room for improvement and achieves an exceptional score."/>
    <s v="ucd"/>
    <s v="pw"/>
    <x v="36"/>
    <n v="1"/>
  </r>
  <r>
    <x v="2"/>
    <n v="18"/>
    <n v="70283"/>
    <n v="48.5"/>
    <n v="48"/>
    <n v="101"/>
    <s v="The case model effectively covers nearly all domain guidelines, with innovative modeling choices beyond the basic requirements."/>
    <s v="ucd"/>
    <s v="pw"/>
    <x v="34"/>
    <n v="1"/>
  </r>
  <r>
    <x v="2"/>
    <n v="19"/>
    <n v="70219"/>
    <n v="48"/>
    <n v="48"/>
    <n v="100"/>
    <s v="The case model fully satisfies all domain guidelines without any uncovered fragments or issues."/>
    <s v="ucd"/>
    <s v="pw"/>
    <x v="3"/>
    <n v="1"/>
  </r>
  <r>
    <x v="2"/>
    <n v="20"/>
    <n v="70241"/>
    <n v="48"/>
    <n v="48"/>
    <n v="100"/>
    <s v="The case model meets all domain guidelines comprehensively with partial satisfaction for two guidelines being supported by detailed entries and alternatives."/>
    <s v="ucd"/>
    <s v="pw"/>
    <x v="33"/>
    <n v="1"/>
  </r>
  <r>
    <x v="2"/>
    <n v="21"/>
    <n v="70278"/>
    <n v="48"/>
    <n v="48"/>
    <n v="100"/>
    <s v="The case model perfectly meets all guidelines with full compliance."/>
    <s v="ucd"/>
    <s v="pw"/>
    <x v="33"/>
    <n v="1"/>
  </r>
  <r>
    <x v="2"/>
    <n v="22"/>
    <n v="70279"/>
    <n v="48"/>
    <n v="48"/>
    <n v="100"/>
    <s v="The case model fully complies with all domain guidelines, achieving a perfect score."/>
    <s v="ucd"/>
    <s v="pw"/>
    <x v="36"/>
    <n v="1"/>
  </r>
  <r>
    <x v="2"/>
    <n v="23"/>
    <n v="70238"/>
    <n v="47.75"/>
    <n v="48"/>
    <n v="99.5"/>
    <s v="The case model strongly aligns with the guidelines, demonstrating comprehensive compliance across most areas with minor improvements noted."/>
    <s v="ucd"/>
    <s v="pw"/>
    <x v="11"/>
    <n v="1"/>
  </r>
  <r>
    <x v="2"/>
    <n v="24"/>
    <n v="70223"/>
    <n v="49.5"/>
    <n v="50"/>
    <n v="99"/>
    <s v="The case model is highly compliant with domain guidelines, with a notable adherence to most required aspects."/>
    <s v="ucd"/>
    <s v="pw"/>
    <x v="33"/>
    <n v="1"/>
  </r>
  <r>
    <x v="2"/>
    <n v="25"/>
    <n v="70197"/>
    <n v="47.5"/>
    <n v="48"/>
    <n v="98.9"/>
    <s v="The case model covers nearly all guidelines with little to no deviation, demonstrating strong compliance with the domain expectations."/>
    <s v="ucd"/>
    <s v="pw"/>
    <x v="22"/>
    <n v="1"/>
  </r>
  <r>
    <x v="2"/>
    <n v="26"/>
    <n v="70252"/>
    <n v="46.75"/>
    <n v="48"/>
    <n v="97.4"/>
    <s v="The case model for 70252 demonstrates near-complete compliance with the domain guidelines, evidencing a robust design with minor scope for refinement."/>
    <s v="ucd"/>
    <s v="pw"/>
    <x v="33"/>
    <n v="1"/>
  </r>
  <r>
    <x v="2"/>
    <n v="27"/>
    <n v="70213"/>
    <n v="46.5"/>
    <n v="48"/>
    <n v="96.9"/>
    <s v="The case model demonstrates strong compliance with domain guidelines, successfully addressing most requirements."/>
    <s v="ucd"/>
    <s v="pw"/>
    <x v="26"/>
    <n v="1"/>
  </r>
  <r>
    <x v="2"/>
    <n v="28"/>
    <n v="70233"/>
    <n v="46.5"/>
    <n v="48"/>
    <n v="96.9"/>
    <s v="The case model performs excellently, meeting most domain guidelines with few areas for improvement."/>
    <s v="ucd"/>
    <s v="pw"/>
    <x v="22"/>
    <n v="1"/>
  </r>
  <r>
    <x v="2"/>
    <n v="29"/>
    <n v="70239"/>
    <n v="46"/>
    <n v="48"/>
    <n v="95.8"/>
    <s v="The case model demonstrates comprehensive compliance with most of the domain guidelines, with only minor gaps in detailing certain processes."/>
    <s v="ucd"/>
    <s v="pw"/>
    <x v="3"/>
    <n v="1"/>
  </r>
  <r>
    <x v="2"/>
    <n v="30"/>
    <n v="70216"/>
    <n v="44.5"/>
    <n v="48"/>
    <n v="92.7"/>
    <s v="The case model largely adheres to domain guidelines, demonstrating robust compliance with a few partially addressed areas."/>
    <s v="ucd"/>
    <s v="pw"/>
    <x v="33"/>
    <n v="1"/>
  </r>
  <r>
    <x v="2"/>
    <n v="31"/>
    <n v="70205"/>
    <n v="44"/>
    <n v="48"/>
    <n v="91.7"/>
    <s v="The case model demonstrates strong compliance with domain guidelines, effectively covering most of the required guidelines, with only a few areas lacking explicit detail."/>
    <s v="ucd"/>
    <s v="pw"/>
    <x v="28"/>
    <n v="1"/>
  </r>
  <r>
    <x v="2"/>
    <n v="32"/>
    <n v="70248"/>
    <n v="43"/>
    <n v="48"/>
    <n v="89.6"/>
    <s v="The case model demonstrates strong compliance with guidelines but has minor areas needing clarity or adjustment."/>
    <s v="ucd"/>
    <s v="pw"/>
    <x v="2"/>
    <n v="1"/>
  </r>
  <r>
    <x v="2"/>
    <n v="33"/>
    <n v="70277"/>
    <n v="42.5"/>
    <n v="48"/>
    <n v="88.5"/>
    <s v="The case model of ParkWise demonstrates strong compliance with the domain guidelines, satisfying most and partially satisfying the remaining criteria."/>
    <s v="ucd"/>
    <s v="pw"/>
    <x v="33"/>
    <n v="1"/>
  </r>
  <r>
    <x v="2"/>
    <n v="34"/>
    <n v="70245"/>
    <n v="41.75"/>
    <n v="48"/>
    <n v="87"/>
    <s v="The case model satisfies most guidelines, with effective use of use cases and actors, though some details like optimization algorithms and client notifications could be further refined."/>
    <s v="ucd"/>
    <s v="pw"/>
    <x v="3"/>
    <n v="1"/>
  </r>
  <r>
    <x v="2"/>
    <n v="35"/>
    <n v="70199"/>
    <n v="41.5"/>
    <n v="48"/>
    <n v="86.5"/>
    <s v="The case model largely meets domain guidelines with minor gaps in explicit details."/>
    <s v="ucd"/>
    <s v="pw"/>
    <x v="3"/>
    <n v="1"/>
  </r>
  <r>
    <x v="2"/>
    <n v="36"/>
    <n v="70248"/>
    <n v="41.5"/>
    <n v="48"/>
    <n v="86.5"/>
    <s v="The case model largely complies with the guidelines, with a few areas for improvement in terms of explicit details and connections."/>
    <s v="ucd"/>
    <s v="pw"/>
    <x v="2"/>
    <n v="1"/>
  </r>
  <r>
    <x v="2"/>
    <n v="37"/>
    <n v="70276"/>
    <n v="40"/>
    <n v="48"/>
    <n v="83.3"/>
    <s v="The case model demonstrates strong compliance with the guidelines, with several areas exhibiting room for explicit detail improvements."/>
    <s v="ucd"/>
    <s v="pw"/>
    <x v="3"/>
    <n v="1"/>
  </r>
  <r>
    <x v="2"/>
    <n v="38"/>
    <n v="70256"/>
    <n v="39"/>
    <n v="48"/>
    <n v="81.2"/>
    <s v="The case model demonstrates strong compliance with the guidelines, though certain areas could benefit from greater explicit representation."/>
    <s v="ucd"/>
    <s v="pw"/>
    <x v="37"/>
    <n v="1"/>
  </r>
  <r>
    <x v="2"/>
    <n v="39"/>
    <n v="70291"/>
    <n v="38.5"/>
    <n v="48"/>
    <n v="80.2"/>
    <s v="The case model mostly adheres to the guidelines, with certain areas clearly detailed and a few needing explicit coverage or improvement."/>
    <s v="ucd"/>
    <s v="pw"/>
    <x v="7"/>
    <n v="1"/>
  </r>
  <r>
    <x v="2"/>
    <n v="40"/>
    <n v="70250"/>
    <n v="37.75"/>
    <n v="48"/>
    <n v="78.599999999999994"/>
    <s v="The case model for ID 70250 demonstrates solid guideline adherence but requires attention to vehicle exit data flows and integration of financial systems."/>
    <s v="ucd"/>
    <s v="pw"/>
    <x v="10"/>
    <n v="1"/>
  </r>
  <r>
    <x v="2"/>
    <n v="41"/>
    <n v="70200"/>
    <n v="36.5"/>
    <n v="48"/>
    <n v="76"/>
    <s v="This case model effectively complies with most domain guidelines, although there are several areas that remain under-specified or lack explicit details."/>
    <s v="ucd"/>
    <s v="pw"/>
    <x v="12"/>
    <n v="1"/>
  </r>
  <r>
    <x v="2"/>
    <n v="42"/>
    <n v="70234"/>
    <n v="33"/>
    <n v="48"/>
    <n v="68.8"/>
    <s v="The case model demonstrates a solid understanding of domain requirements but has room for improvement, particularly in explicitly documenting guideline elements."/>
    <s v="ucd"/>
    <s v="pw"/>
    <x v="34"/>
    <n v="1"/>
  </r>
  <r>
    <x v="2"/>
    <n v="43"/>
    <n v="70197"/>
    <n v="17.5"/>
    <n v="48"/>
    <n v="36.5"/>
    <s v="The case model partially meets the domain guidelines, with several areas lacking evidence or detail and some guidelines fully satisfied."/>
    <s v="ucd"/>
    <s v="pw"/>
    <x v="22"/>
    <n v="1"/>
  </r>
  <r>
    <x v="2"/>
    <n v="44"/>
    <n v="70229"/>
    <n v="7"/>
    <n v="48"/>
    <n v="14.6"/>
    <s v="The case model satisfies several key guidelines, yet there remains substantial room for improvement to meet all the domain requirements."/>
    <s v="ucd"/>
    <s v="pw"/>
    <x v="0"/>
    <n v="0"/>
  </r>
  <r>
    <x v="3"/>
    <n v="1"/>
    <n v="68124"/>
    <n v="27.5"/>
    <n v="27"/>
    <n v="101.9"/>
    <s v="The case model excellently complies with the guidelines, effectively integrating additional beneficial elements beyond the minimal requirements."/>
    <s v="ucd"/>
    <s v="ch"/>
    <x v="26"/>
    <n v="1"/>
  </r>
  <r>
    <x v="3"/>
    <n v="2"/>
    <n v="68092"/>
    <n v="27"/>
    <n v="27"/>
    <n v="100"/>
    <s v="The case model fully complies with all domain guidelines."/>
    <s v="ucd"/>
    <s v="ch"/>
    <x v="28"/>
    <n v="1"/>
  </r>
  <r>
    <x v="3"/>
    <n v="3"/>
    <n v="68145"/>
    <n v="27"/>
    <n v="27"/>
    <n v="100"/>
    <s v="The case model comprehensively satisfies the guidelines with a perfect score, though some stylistic UML improvements can be made."/>
    <s v="ucd"/>
    <s v="ch"/>
    <x v="28"/>
    <n v="1"/>
  </r>
  <r>
    <x v="3"/>
    <n v="4"/>
    <n v="68158"/>
    <n v="27"/>
    <n v="27"/>
    <n v="100"/>
    <s v="The case model fully satisfies all guidelines, demonstrating comprehensive alignment with domain expectations."/>
    <s v="ucd"/>
    <s v="ch"/>
    <x v="38"/>
    <n v="1"/>
  </r>
  <r>
    <x v="3"/>
    <n v="5"/>
    <n v="68061"/>
    <n v="26.5"/>
    <n v="27"/>
    <n v="98.1"/>
    <s v="The case model mostly satisfies the guidelines with minor improvements needed for explicit depiction of data interaction and minor language-related corrections."/>
    <s v="ucd"/>
    <s v="ch"/>
    <x v="37"/>
    <n v="1"/>
  </r>
  <r>
    <x v="3"/>
    <n v="6"/>
    <n v="68114"/>
    <n v="26"/>
    <n v="27"/>
    <n v="96.3"/>
    <s v="The case model for the 'Cheers' system is highly compliant with domain guidelines, successfully capturing nearly all specified requirements."/>
    <s v="ucd"/>
    <s v="ch"/>
    <x v="26"/>
    <n v="1"/>
  </r>
  <r>
    <x v="3"/>
    <n v="7"/>
    <n v="68162"/>
    <n v="25.75"/>
    <n v="27"/>
    <n v="95.4"/>
    <s v="The case model demonstrates a strong alignment with the domain guidelines, achieving over 95% compliance."/>
    <s v="ucd"/>
    <s v="ch"/>
    <x v="28"/>
    <n v="1"/>
  </r>
  <r>
    <x v="3"/>
    <n v="8"/>
    <n v="68074"/>
    <n v="25"/>
    <n v="27"/>
    <n v="92.6"/>
    <s v="The use case model effectively covers the majority of the domain guidelines, with only a few areas needing explicit detailing."/>
    <s v="ucd"/>
    <s v="ch"/>
    <x v="37"/>
    <n v="1"/>
  </r>
  <r>
    <x v="3"/>
    <n v="9"/>
    <n v="68121"/>
    <n v="25"/>
    <n v="27"/>
    <n v="92.6"/>
    <s v="The case model achieves a high level of compliance with most guidelines satisfied or partially satisfied, reflecting strong adherence to the domain guidelines."/>
    <s v="ucd"/>
    <s v="ch"/>
    <x v="39"/>
    <n v="1"/>
  </r>
  <r>
    <x v="3"/>
    <n v="10"/>
    <n v="68141"/>
    <n v="25"/>
    <n v="27"/>
    <n v="92.6"/>
    <s v="The case model shows strong compliance with the guidelines, with a few areas for further detail improvement."/>
    <s v="ucd"/>
    <s v="ch"/>
    <x v="40"/>
    <n v="1"/>
  </r>
  <r>
    <x v="3"/>
    <n v="11"/>
    <n v="68065"/>
    <n v="24.5"/>
    <n v="27"/>
    <n v="90.7"/>
    <s v="The case model shows strong compliance with the guidelines, addressing nearly all requirements effectively, with minor room for improvement."/>
    <s v="ucd"/>
    <s v="ch"/>
    <x v="28"/>
    <n v="1"/>
  </r>
  <r>
    <x v="3"/>
    <n v="12"/>
    <n v="68117"/>
    <n v="24.5"/>
    <n v="27"/>
    <n v="90.7"/>
    <s v="The case model for 'Cheers' system demonstrates strong compliance with the domain guidelines, meeting most expectations with some opportunities for clarifying customer order tracking specifics."/>
    <s v="ucd"/>
    <s v="ch"/>
    <x v="28"/>
    <n v="2"/>
  </r>
  <r>
    <x v="3"/>
    <n v="13"/>
    <n v="68127"/>
    <n v="24.5"/>
    <n v="27"/>
    <n v="90.7"/>
    <s v="The case model provides a strong representation of the required guidelines with room for slight improvement in detailing specific wine and inventory handling processes."/>
    <s v="ucd"/>
    <s v="ch"/>
    <x v="40"/>
    <n v="1"/>
  </r>
  <r>
    <x v="3"/>
    <n v="14"/>
    <n v="68115"/>
    <n v="23.5"/>
    <n v="27"/>
    <n v="87"/>
    <s v="The case model demonstrates strong compliance with domain guidelines, though some areas require minor adjustments."/>
    <s v="ucd"/>
    <s v="ch"/>
    <x v="0"/>
    <n v="0"/>
  </r>
  <r>
    <x v="3"/>
    <n v="15"/>
    <n v="68142"/>
    <n v="23"/>
    <n v="27"/>
    <n v="85.2"/>
    <s v="The case model demonstrates a strong alignment with the domain guidelines, effectively capturing key operations and interactions, though some areas related to inventory and storage details require further refinement."/>
    <s v="ucd"/>
    <s v="ch"/>
    <x v="28"/>
    <n v="1"/>
  </r>
  <r>
    <x v="3"/>
    <n v="16"/>
    <n v="68067"/>
    <n v="22.5"/>
    <n v="27"/>
    <n v="83.3"/>
    <s v="The case model largely complies with the domain guidelines, with most guidelines either satisfied or partially met, achieving a strong overall score."/>
    <s v="ucd"/>
    <s v="ch"/>
    <x v="40"/>
    <n v="1"/>
  </r>
  <r>
    <x v="3"/>
    <n v="17"/>
    <n v="68131"/>
    <n v="22.5"/>
    <n v="27"/>
    <n v="83.3"/>
    <s v="The case model demonstrates a strong alignment with domain guidelines, fulfilling most guidelines with minor areas for improvement."/>
    <s v="ucd"/>
    <s v="ch"/>
    <x v="34"/>
    <n v="1"/>
  </r>
  <r>
    <x v="3"/>
    <n v="18"/>
    <n v="68092"/>
    <n v="21.5"/>
    <n v="27"/>
    <n v="79.599999999999994"/>
    <s v="The case model effectively satisfies most guidelines with room for improvement in detailing specific data associations and conditions."/>
    <s v="ucd"/>
    <s v="ch"/>
    <x v="28"/>
    <n v="1"/>
  </r>
  <r>
    <x v="3"/>
    <n v="19"/>
    <n v="68097"/>
    <n v="21"/>
    <n v="27"/>
    <n v="77.8"/>
    <s v="The Cheers case model is well-done, satisfying most guidelines with room for improvement in detailing customer information and handling external interactions."/>
    <s v="ucd"/>
    <s v="ch"/>
    <x v="40"/>
    <n v="1"/>
  </r>
  <r>
    <x v="3"/>
    <n v="20"/>
    <n v="68122"/>
    <n v="21"/>
    <n v="27"/>
    <n v="77.8"/>
    <s v="The case model substantially meets the domain guidelines with a few partially satisfied aspects and enhancements reflected as alternatives."/>
    <s v="ucd"/>
    <s v="ch"/>
    <x v="40"/>
    <n v="1"/>
  </r>
  <r>
    <x v="3"/>
    <n v="21"/>
    <n v="68089"/>
    <n v="20"/>
    <n v="27"/>
    <n v="74.099999999999994"/>
    <s v="The case model demonstrates good compliance with the domain guidelines, though there are several areas marked partially-satisfied that could benefit from more detail."/>
    <s v="ucd"/>
    <s v="ch"/>
    <x v="34"/>
    <n v="1"/>
  </r>
  <r>
    <x v="3"/>
    <n v="22"/>
    <n v="68123"/>
    <n v="19.5"/>
    <n v="27"/>
    <n v="72.2"/>
    <s v="The model satisfies most guidelines but lacks explicitly detailed use cases for certain key functionalities, leading to some partial and unsatisfied scores."/>
    <s v="ucd"/>
    <s v="ch"/>
    <x v="7"/>
    <n v="1"/>
  </r>
  <r>
    <x v="3"/>
    <n v="23"/>
    <n v="68138"/>
    <n v="19.5"/>
    <n v="27"/>
    <n v="72.2"/>
    <s v="The Cheers system case model largely satisfies domain guidelines, with some areas of non-compliance and improvement needed in providing specific details and correct language use."/>
    <s v="ucd"/>
    <s v="ch"/>
    <x v="32"/>
    <n v="1"/>
  </r>
  <r>
    <x v="3"/>
    <n v="24"/>
    <n v="68163"/>
    <n v="19.5"/>
    <n v="27"/>
    <n v="72.2"/>
    <s v="The case model satisfies many core guidelines, but lacks completeness in specific areas and contains a notable domain error."/>
    <s v="ucd"/>
    <s v="ch"/>
    <x v="40"/>
    <n v="1"/>
  </r>
  <r>
    <x v="3"/>
    <n v="25"/>
    <n v="68086"/>
    <n v="18.5"/>
    <n v="27"/>
    <n v="68.5"/>
    <s v="The case model demonstrates good coverage of guidelines with room for improvement in specific functional and external integration use cases."/>
    <s v="ucd"/>
    <s v="ch"/>
    <x v="41"/>
    <n v="1"/>
  </r>
  <r>
    <x v="3"/>
    <n v="26"/>
    <n v="68106"/>
    <n v="18.5"/>
    <n v="27"/>
    <n v="68.5"/>
    <s v="The case model demonstrates reasonable compliance with domain guidelines, though several key areas such as customer details and inventory tracking remain underrepresented."/>
    <s v="ucd"/>
    <s v="ch"/>
    <x v="32"/>
    <n v="1"/>
  </r>
  <r>
    <x v="3"/>
    <n v="27"/>
    <n v="68139"/>
    <n v="18"/>
    <n v="27"/>
    <n v="66.7"/>
    <s v="The case model satisfies many guidelines, with room for improvement in representing external entities and detailed records."/>
    <s v="ucd"/>
    <s v="ch"/>
    <x v="28"/>
    <n v="1"/>
  </r>
  <r>
    <x v="3"/>
    <n v="28"/>
    <n v="68064"/>
    <n v="17.5"/>
    <n v="27"/>
    <n v="64.8"/>
    <s v="The case model demonstrates a moderate level of compliance, meeting several guidelines but lacking detail in key areas."/>
    <s v="ucd"/>
    <s v="ch"/>
    <x v="37"/>
    <n v="1"/>
  </r>
  <r>
    <x v="3"/>
    <n v="29"/>
    <n v="68077"/>
    <n v="17.5"/>
    <n v="27"/>
    <n v="64.8"/>
    <s v="The case model satisfies many guidelines but lacks details in certain areas, resulting in a moderate score."/>
    <s v="ucd"/>
    <s v="ch"/>
    <x v="0"/>
    <n v="0"/>
  </r>
  <r>
    <x v="3"/>
    <n v="30"/>
    <n v="68099"/>
    <n v="17.5"/>
    <n v="27"/>
    <n v="64.8"/>
    <s v="The case model demonstrates a moderate level of compliance with several guidelines fully satisfied but many partially met or unmet, indicating areas for improvement."/>
    <s v="ucd"/>
    <s v="ch"/>
    <x v="42"/>
    <n v="1"/>
  </r>
  <r>
    <x v="3"/>
    <n v="31"/>
    <n v="68113"/>
    <n v="17.5"/>
    <n v="27"/>
    <n v="64.8"/>
    <s v="The case model effectively meets many of the guidelines, though there are notable areas lacking explicit representation, particularly regarding system boundaries and customer detail recording."/>
    <s v="ucd"/>
    <s v="ch"/>
    <x v="38"/>
    <n v="1"/>
  </r>
  <r>
    <x v="3"/>
    <n v="32"/>
    <n v="68132"/>
    <n v="17.5"/>
    <n v="27"/>
    <n v="64.8"/>
    <s v="The case model meets several guidelines, but it has significant gaps in detailed functionality regarding employee orders, wine data management, and other specifics."/>
    <s v="ucd"/>
    <s v="ch"/>
    <x v="40"/>
    <n v="1"/>
  </r>
  <r>
    <x v="3"/>
    <n v="33"/>
    <n v="68084"/>
    <n v="16.5"/>
    <n v="27"/>
    <n v="61.1"/>
    <s v="The case model moderately satisfies domain guidelines, with opportunities for improvement in detailing specific functionalities."/>
    <s v="ucd"/>
    <s v="ch"/>
    <x v="28"/>
    <n v="1"/>
  </r>
  <r>
    <x v="3"/>
    <n v="34"/>
    <n v="68085"/>
    <n v="16.5"/>
    <n v="27"/>
    <n v="61.1"/>
    <s v="The case model satisfies most guidelines related to the 'Cheers' system but lacks in capturing certain detailed requirements, preventing a higher score."/>
    <s v="ucd"/>
    <s v="ch"/>
    <x v="28"/>
    <n v="1"/>
  </r>
  <r>
    <x v="3"/>
    <n v="35"/>
    <n v="68111"/>
    <n v="16.5"/>
    <n v="27"/>
    <n v="61.1"/>
    <s v="The case model meets the requirements moderately well, with strong compliance in most areas, though some details and specificities could be improved for complete alignment with guidelines."/>
    <s v="ucd"/>
    <s v="ch"/>
    <x v="41"/>
    <n v="1"/>
  </r>
  <r>
    <x v="3"/>
    <n v="36"/>
    <n v="68075"/>
    <n v="16"/>
    <n v="27"/>
    <n v="59.3"/>
    <s v="The case model meets many guidelines but lacks explicit representation for some key requirements."/>
    <s v="ucd"/>
    <s v="ch"/>
    <x v="32"/>
    <n v="1"/>
  </r>
  <r>
    <x v="3"/>
    <n v="37"/>
    <n v="68150"/>
    <n v="15.5"/>
    <n v="27"/>
    <n v="57.4"/>
    <s v="The case model partially satisfies the guidelines, with some guidelines fully met, but others lacking necessary detail or representation."/>
    <s v="ucd"/>
    <s v="ch"/>
    <x v="0"/>
    <n v="0"/>
  </r>
  <r>
    <x v="3"/>
    <n v="38"/>
    <n v="68153"/>
    <n v="15.5"/>
    <n v="27"/>
    <n v="57.4"/>
    <s v="The case model meets a majority of guidelines, though several key areas require additional detail or representation for full compliance."/>
    <s v="ucd"/>
    <s v="ch"/>
    <x v="28"/>
    <n v="1"/>
  </r>
  <r>
    <x v="3"/>
    <n v="39"/>
    <n v="68059"/>
    <n v="15"/>
    <n v="27"/>
    <n v="55.6"/>
    <s v="The case model satisfies several guidelines but lacks explicit representation for many required functionalities, leading to only a partially compliant score."/>
    <s v="ucd"/>
    <s v="ch"/>
    <x v="32"/>
    <n v="1"/>
  </r>
  <r>
    <x v="3"/>
    <n v="40"/>
    <n v="68128"/>
    <n v="15"/>
    <n v="27"/>
    <n v="55.6"/>
    <s v="The case model partially fulfills the guidelines with room for improvement, particularly in capturing details and employee ordering capabilities."/>
    <s v="ucd"/>
    <s v="ch"/>
    <x v="37"/>
    <n v="1"/>
  </r>
  <r>
    <x v="3"/>
    <n v="41"/>
    <n v="68160"/>
    <n v="15"/>
    <n v="27"/>
    <n v="55.6"/>
    <s v="The case model satisfies many guidelines with several partially satisfied or not addressed, and valid alternatives provide some additional value."/>
    <s v="ucd"/>
    <s v="ch"/>
    <x v="26"/>
    <n v="1"/>
  </r>
  <r>
    <x v="3"/>
    <n v="42"/>
    <n v="68156"/>
    <n v="14"/>
    <n v="27"/>
    <n v="51.9"/>
    <s v="The case model partially meets domain guidelines, with many guidelines satisfied or partially satisfied but several still not addressed."/>
    <s v="ucd"/>
    <s v="ch"/>
    <x v="42"/>
    <n v="1"/>
  </r>
  <r>
    <x v="3"/>
    <n v="43"/>
    <n v="68125"/>
    <n v="13.5"/>
    <n v="27"/>
    <n v="50"/>
    <s v="The case model meets about half of its compliance guidelines, with room for improvement in defining system boundaries and detailing use cases."/>
    <s v="ucd"/>
    <s v="ch"/>
    <x v="34"/>
    <n v="1"/>
  </r>
  <r>
    <x v="3"/>
    <n v="44"/>
    <n v="68116"/>
    <n v="11.5"/>
    <n v="27"/>
    <n v="42.6"/>
    <s v="The case model satisfies several key guidelines but lacks comprehensive coverage of customer and inventory management, leading to a below-average score."/>
    <s v="ucd"/>
    <s v="ch"/>
    <x v="37"/>
    <n v="1"/>
  </r>
  <r>
    <x v="3"/>
    <n v="45"/>
    <n v="68148"/>
    <n v="11.5"/>
    <n v="27"/>
    <n v="42.6"/>
    <s v="The case model partially satisfies the guidelines with potential improvement needed in detailing system functionalities and roles."/>
    <s v="ucd"/>
    <s v="ch"/>
    <x v="32"/>
    <n v="1"/>
  </r>
  <r>
    <x v="3"/>
    <n v="46"/>
    <n v="68118"/>
    <n v="11"/>
    <n v="27"/>
    <n v="40.700000000000003"/>
    <s v="The case model partially fulfills the domain guidelines, with several aspects satisfactorily covered but lacking detail in many key areas."/>
    <s v="ucd"/>
    <s v="ch"/>
    <x v="41"/>
    <n v="1"/>
  </r>
  <r>
    <x v="4"/>
    <m/>
    <m/>
    <m/>
    <m/>
    <m/>
    <m/>
    <m/>
    <m/>
    <x v="4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5EA06-F8AA-48ED-9E22-26EACD27709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1">
    <pivotField axis="axisRow" showAll="0">
      <items count="6">
        <item x="1"/>
        <item x="0"/>
        <item x="2"/>
        <item x="3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>
      <items count="45">
        <item h="1" x="31"/>
        <item x="13"/>
        <item x="32"/>
        <item x="1"/>
        <item x="28"/>
        <item x="22"/>
        <item x="26"/>
        <item x="3"/>
        <item x="7"/>
        <item x="16"/>
        <item x="10"/>
        <item x="2"/>
        <item x="12"/>
        <item x="11"/>
        <item x="25"/>
        <item x="6"/>
        <item x="9"/>
        <item x="4"/>
        <item x="20"/>
        <item x="8"/>
        <item x="24"/>
        <item x="15"/>
        <item x="5"/>
        <item x="29"/>
        <item x="27"/>
        <item x="18"/>
        <item x="21"/>
        <item x="14"/>
        <item x="19"/>
        <item x="17"/>
        <item x="30"/>
        <item x="23"/>
        <item x="0"/>
        <item x="33"/>
        <item x="34"/>
        <item x="35"/>
        <item x="36"/>
        <item x="37"/>
        <item x="38"/>
        <item x="39"/>
        <item x="40"/>
        <item x="41"/>
        <item x="42"/>
        <item h="1" x="43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se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A161" workbookViewId="0">
      <selection activeCell="C166" sqref="C166"/>
    </sheetView>
  </sheetViews>
  <sheetFormatPr defaultRowHeight="14.5" x14ac:dyDescent="0.35"/>
  <cols>
    <col min="1" max="1" width="10" customWidth="1"/>
    <col min="2" max="2" width="12" customWidth="1"/>
    <col min="3" max="3" width="13" customWidth="1"/>
    <col min="4" max="5" width="12" customWidth="1"/>
    <col min="6" max="6" width="46.1796875" customWidth="1"/>
    <col min="7" max="7" width="8.7265625" style="8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92</v>
      </c>
    </row>
    <row r="2" spans="1:7" ht="42" x14ac:dyDescent="0.35">
      <c r="A2" s="2" t="s">
        <v>6</v>
      </c>
      <c r="B2" s="2">
        <v>70213</v>
      </c>
      <c r="C2" s="2">
        <v>22</v>
      </c>
      <c r="D2" s="2">
        <v>18</v>
      </c>
      <c r="E2" s="2">
        <v>122.2</v>
      </c>
      <c r="F2" s="3" t="s">
        <v>7</v>
      </c>
      <c r="G2" s="8">
        <v>15</v>
      </c>
    </row>
    <row r="3" spans="1:7" ht="42" x14ac:dyDescent="0.35">
      <c r="A3" s="2" t="s">
        <v>6</v>
      </c>
      <c r="B3" s="2">
        <v>70264</v>
      </c>
      <c r="C3" s="2">
        <v>21</v>
      </c>
      <c r="D3" s="2">
        <v>18</v>
      </c>
      <c r="E3" s="2">
        <v>116.7</v>
      </c>
      <c r="F3" s="3" t="s">
        <v>8</v>
      </c>
      <c r="G3" s="8">
        <v>21</v>
      </c>
    </row>
    <row r="4" spans="1:7" ht="42" x14ac:dyDescent="0.35">
      <c r="A4" s="2" t="s">
        <v>6</v>
      </c>
      <c r="B4" s="2">
        <v>70279</v>
      </c>
      <c r="C4" s="2">
        <v>21</v>
      </c>
      <c r="D4" s="2">
        <v>18</v>
      </c>
      <c r="E4" s="2">
        <v>116.7</v>
      </c>
      <c r="F4" s="3" t="s">
        <v>9</v>
      </c>
      <c r="G4" s="8">
        <v>18.5</v>
      </c>
    </row>
    <row r="5" spans="1:7" ht="28" x14ac:dyDescent="0.35">
      <c r="A5" s="2" t="s">
        <v>6</v>
      </c>
      <c r="B5" s="2">
        <v>70205</v>
      </c>
      <c r="C5" s="2">
        <v>19.5</v>
      </c>
      <c r="D5" s="2">
        <v>18</v>
      </c>
      <c r="E5" s="2">
        <v>108.3</v>
      </c>
      <c r="F5" s="3" t="s">
        <v>10</v>
      </c>
      <c r="G5" s="8">
        <v>24</v>
      </c>
    </row>
    <row r="6" spans="1:7" ht="42" x14ac:dyDescent="0.35">
      <c r="A6" s="2" t="s">
        <v>6</v>
      </c>
      <c r="B6" s="2">
        <v>70238</v>
      </c>
      <c r="C6" s="2">
        <v>19.5</v>
      </c>
      <c r="D6" s="2">
        <v>18</v>
      </c>
      <c r="E6" s="2">
        <v>108.3</v>
      </c>
      <c r="F6" s="3" t="s">
        <v>11</v>
      </c>
      <c r="G6" s="8">
        <v>24</v>
      </c>
    </row>
    <row r="7" spans="1:7" ht="42" x14ac:dyDescent="0.35">
      <c r="A7" s="2" t="s">
        <v>6</v>
      </c>
      <c r="B7" s="2">
        <v>70228</v>
      </c>
      <c r="C7" s="2">
        <v>18.25</v>
      </c>
      <c r="D7" s="2">
        <v>18</v>
      </c>
      <c r="E7" s="2">
        <v>101.4</v>
      </c>
      <c r="F7" s="3" t="s">
        <v>12</v>
      </c>
      <c r="G7" s="8">
        <v>24</v>
      </c>
    </row>
    <row r="8" spans="1:7" ht="42" x14ac:dyDescent="0.35">
      <c r="A8" s="2" t="s">
        <v>6</v>
      </c>
      <c r="B8" s="2">
        <v>70212</v>
      </c>
      <c r="C8" s="2">
        <v>18</v>
      </c>
      <c r="D8" s="2">
        <v>18</v>
      </c>
      <c r="E8" s="2">
        <v>100</v>
      </c>
      <c r="F8" s="3" t="s">
        <v>13</v>
      </c>
      <c r="G8" s="8">
        <v>27</v>
      </c>
    </row>
    <row r="9" spans="1:7" ht="42" x14ac:dyDescent="0.35">
      <c r="A9" s="2" t="s">
        <v>6</v>
      </c>
      <c r="B9" s="2">
        <v>70291</v>
      </c>
      <c r="C9" s="2">
        <v>18</v>
      </c>
      <c r="D9" s="2">
        <v>18</v>
      </c>
      <c r="E9" s="2">
        <v>100</v>
      </c>
      <c r="F9" s="3" t="s">
        <v>14</v>
      </c>
      <c r="G9" s="8">
        <v>21</v>
      </c>
    </row>
    <row r="10" spans="1:7" ht="42" x14ac:dyDescent="0.35">
      <c r="A10" s="2" t="s">
        <v>6</v>
      </c>
      <c r="B10" s="2">
        <v>70250</v>
      </c>
      <c r="C10" s="2">
        <v>17.25</v>
      </c>
      <c r="D10" s="2">
        <v>18</v>
      </c>
      <c r="E10" s="2">
        <v>95.8</v>
      </c>
      <c r="F10" s="3" t="s">
        <v>15</v>
      </c>
      <c r="G10" s="8">
        <v>24</v>
      </c>
    </row>
    <row r="11" spans="1:7" ht="56" x14ac:dyDescent="0.35">
      <c r="A11" s="2" t="s">
        <v>6</v>
      </c>
      <c r="B11" s="2">
        <v>70216</v>
      </c>
      <c r="C11" s="2">
        <v>18</v>
      </c>
      <c r="D11" s="2">
        <v>19</v>
      </c>
      <c r="E11" s="2">
        <v>94.7</v>
      </c>
      <c r="F11" s="3" t="s">
        <v>16</v>
      </c>
      <c r="G11" s="8">
        <v>23</v>
      </c>
    </row>
    <row r="12" spans="1:7" ht="42" x14ac:dyDescent="0.35">
      <c r="A12" s="2" t="s">
        <v>6</v>
      </c>
      <c r="B12" s="2">
        <v>70239</v>
      </c>
      <c r="C12" s="2">
        <v>17</v>
      </c>
      <c r="D12" s="2">
        <v>18</v>
      </c>
      <c r="E12" s="2">
        <v>94.4</v>
      </c>
      <c r="F12" s="3" t="s">
        <v>17</v>
      </c>
      <c r="G12" s="8">
        <v>23</v>
      </c>
    </row>
    <row r="13" spans="1:7" ht="56" x14ac:dyDescent="0.35">
      <c r="A13" s="2" t="s">
        <v>6</v>
      </c>
      <c r="B13" s="2">
        <v>70252</v>
      </c>
      <c r="C13" s="2">
        <v>17</v>
      </c>
      <c r="D13" s="2">
        <v>18</v>
      </c>
      <c r="E13" s="2">
        <v>94.4</v>
      </c>
      <c r="F13" s="3" t="s">
        <v>18</v>
      </c>
      <c r="G13" s="8">
        <v>19</v>
      </c>
    </row>
    <row r="14" spans="1:7" ht="42" x14ac:dyDescent="0.35">
      <c r="A14" s="2" t="s">
        <v>6</v>
      </c>
      <c r="B14" s="2">
        <v>70248</v>
      </c>
      <c r="C14" s="2">
        <v>16.5</v>
      </c>
      <c r="D14" s="2">
        <v>18</v>
      </c>
      <c r="E14" s="2">
        <v>91.7</v>
      </c>
      <c r="F14" s="3" t="s">
        <v>19</v>
      </c>
      <c r="G14" s="8">
        <v>23</v>
      </c>
    </row>
    <row r="15" spans="1:7" ht="56" x14ac:dyDescent="0.35">
      <c r="A15" s="2" t="s">
        <v>6</v>
      </c>
      <c r="B15" s="2">
        <v>70197</v>
      </c>
      <c r="C15" s="2">
        <v>16.25</v>
      </c>
      <c r="D15" s="2">
        <v>18</v>
      </c>
      <c r="E15" s="2">
        <v>90.3</v>
      </c>
      <c r="F15" s="3" t="s">
        <v>20</v>
      </c>
      <c r="G15" s="8">
        <v>23</v>
      </c>
    </row>
    <row r="16" spans="1:7" ht="42" x14ac:dyDescent="0.35">
      <c r="A16" s="2" t="s">
        <v>6</v>
      </c>
      <c r="B16" s="2">
        <v>70199</v>
      </c>
      <c r="C16" s="2">
        <v>16</v>
      </c>
      <c r="D16" s="2">
        <v>18</v>
      </c>
      <c r="E16" s="2">
        <v>88.9</v>
      </c>
      <c r="F16" s="3" t="s">
        <v>21</v>
      </c>
      <c r="G16" s="8">
        <v>25.5</v>
      </c>
    </row>
    <row r="17" spans="1:7" ht="42" x14ac:dyDescent="0.35">
      <c r="A17" s="2" t="s">
        <v>6</v>
      </c>
      <c r="B17" s="2">
        <v>70233</v>
      </c>
      <c r="C17" s="2">
        <v>16</v>
      </c>
      <c r="D17" s="2">
        <v>18</v>
      </c>
      <c r="E17" s="2">
        <v>88.9</v>
      </c>
      <c r="F17" s="3" t="s">
        <v>22</v>
      </c>
      <c r="G17" s="8">
        <v>27</v>
      </c>
    </row>
    <row r="18" spans="1:7" ht="42" x14ac:dyDescent="0.35">
      <c r="A18" s="2" t="s">
        <v>6</v>
      </c>
      <c r="B18" s="2">
        <v>70234</v>
      </c>
      <c r="C18" s="2">
        <v>15.5</v>
      </c>
      <c r="D18" s="2">
        <v>18</v>
      </c>
      <c r="E18" s="2">
        <v>86.1</v>
      </c>
      <c r="F18" s="3" t="s">
        <v>23</v>
      </c>
      <c r="G18" s="8">
        <v>23</v>
      </c>
    </row>
    <row r="19" spans="1:7" ht="56" x14ac:dyDescent="0.35">
      <c r="A19" s="2" t="s">
        <v>6</v>
      </c>
      <c r="B19" s="2">
        <v>70249</v>
      </c>
      <c r="C19" s="2">
        <v>15.5</v>
      </c>
      <c r="D19" s="2">
        <v>18</v>
      </c>
      <c r="E19" s="2">
        <v>86.1</v>
      </c>
      <c r="F19" s="3" t="s">
        <v>24</v>
      </c>
      <c r="G19" s="8">
        <v>19</v>
      </c>
    </row>
    <row r="20" spans="1:7" ht="56" x14ac:dyDescent="0.35">
      <c r="A20" s="2" t="s">
        <v>6</v>
      </c>
      <c r="B20" s="2">
        <v>70255</v>
      </c>
      <c r="C20" s="2">
        <v>15.5</v>
      </c>
      <c r="D20" s="2">
        <v>18</v>
      </c>
      <c r="E20" s="2">
        <v>86.1</v>
      </c>
      <c r="F20" s="3" t="s">
        <v>25</v>
      </c>
      <c r="G20" s="8">
        <v>24</v>
      </c>
    </row>
    <row r="21" spans="1:7" ht="42" x14ac:dyDescent="0.35">
      <c r="A21" s="2" t="s">
        <v>6</v>
      </c>
      <c r="B21" s="2">
        <v>70256</v>
      </c>
      <c r="C21" s="2">
        <v>15.25</v>
      </c>
      <c r="D21" s="2">
        <v>18</v>
      </c>
      <c r="E21" s="2">
        <v>84.7</v>
      </c>
      <c r="F21" s="3" t="s">
        <v>26</v>
      </c>
      <c r="G21" s="8">
        <v>24</v>
      </c>
    </row>
    <row r="22" spans="1:7" ht="42" x14ac:dyDescent="0.35">
      <c r="A22" s="2" t="s">
        <v>6</v>
      </c>
      <c r="B22" s="2">
        <v>70282</v>
      </c>
      <c r="C22" s="2">
        <v>15</v>
      </c>
      <c r="D22" s="2">
        <v>18</v>
      </c>
      <c r="E22" s="2">
        <v>83.3</v>
      </c>
      <c r="F22" s="3" t="s">
        <v>27</v>
      </c>
      <c r="G22" s="8">
        <v>23.5</v>
      </c>
    </row>
    <row r="23" spans="1:7" ht="70" x14ac:dyDescent="0.35">
      <c r="A23" s="2" t="s">
        <v>6</v>
      </c>
      <c r="B23" s="2">
        <v>70204</v>
      </c>
      <c r="C23" s="2">
        <v>14.5</v>
      </c>
      <c r="D23" s="2">
        <v>18</v>
      </c>
      <c r="E23" s="2">
        <v>80.599999999999994</v>
      </c>
      <c r="F23" s="3" t="s">
        <v>28</v>
      </c>
      <c r="G23" s="8">
        <v>20</v>
      </c>
    </row>
    <row r="24" spans="1:7" ht="56" x14ac:dyDescent="0.35">
      <c r="A24" s="2" t="s">
        <v>6</v>
      </c>
      <c r="B24" s="2">
        <v>70236</v>
      </c>
      <c r="C24" s="2">
        <v>14.5</v>
      </c>
      <c r="D24" s="2">
        <v>18</v>
      </c>
      <c r="E24" s="2">
        <v>80.599999999999994</v>
      </c>
      <c r="F24" s="3" t="s">
        <v>29</v>
      </c>
      <c r="G24" s="8">
        <v>23</v>
      </c>
    </row>
    <row r="25" spans="1:7" ht="42" x14ac:dyDescent="0.35">
      <c r="A25" s="2" t="s">
        <v>6</v>
      </c>
      <c r="B25" s="2">
        <v>70276</v>
      </c>
      <c r="C25" s="2">
        <v>14</v>
      </c>
      <c r="D25" s="2">
        <v>18</v>
      </c>
      <c r="E25" s="2">
        <v>77.8</v>
      </c>
      <c r="F25" s="3" t="s">
        <v>30</v>
      </c>
      <c r="G25" s="8">
        <v>27</v>
      </c>
    </row>
    <row r="26" spans="1:7" ht="42" x14ac:dyDescent="0.35">
      <c r="A26" s="2" t="s">
        <v>6</v>
      </c>
      <c r="B26" s="2">
        <v>70240</v>
      </c>
      <c r="C26" s="2">
        <v>13.5</v>
      </c>
      <c r="D26" s="2">
        <v>18</v>
      </c>
      <c r="E26" s="2">
        <v>75</v>
      </c>
      <c r="F26" s="3" t="s">
        <v>31</v>
      </c>
      <c r="G26" s="8">
        <v>19</v>
      </c>
    </row>
    <row r="27" spans="1:7" ht="42" x14ac:dyDescent="0.35">
      <c r="A27" s="2" t="s">
        <v>6</v>
      </c>
      <c r="B27" s="2">
        <v>70277</v>
      </c>
      <c r="C27" s="2">
        <v>13.5</v>
      </c>
      <c r="D27" s="2">
        <v>18</v>
      </c>
      <c r="E27" s="2">
        <v>75</v>
      </c>
      <c r="F27" s="3" t="s">
        <v>32</v>
      </c>
      <c r="G27" s="8">
        <v>22</v>
      </c>
    </row>
    <row r="28" spans="1:7" ht="56" x14ac:dyDescent="0.35">
      <c r="A28" s="2" t="s">
        <v>6</v>
      </c>
      <c r="B28" s="2">
        <v>70279</v>
      </c>
      <c r="C28" s="2">
        <v>13.5</v>
      </c>
      <c r="D28" s="2">
        <v>18</v>
      </c>
      <c r="E28" s="2">
        <v>75</v>
      </c>
      <c r="F28" s="3" t="s">
        <v>33</v>
      </c>
      <c r="G28" s="8">
        <v>18.5</v>
      </c>
    </row>
    <row r="29" spans="1:7" ht="56" x14ac:dyDescent="0.35">
      <c r="A29" s="2" t="s">
        <v>6</v>
      </c>
      <c r="B29" s="2">
        <v>70219</v>
      </c>
      <c r="C29" s="2">
        <v>12.5</v>
      </c>
      <c r="D29" s="2">
        <v>18</v>
      </c>
      <c r="E29" s="2">
        <v>69.400000000000006</v>
      </c>
      <c r="F29" s="3" t="s">
        <v>34</v>
      </c>
      <c r="G29" s="8">
        <v>23</v>
      </c>
    </row>
    <row r="30" spans="1:7" ht="42" x14ac:dyDescent="0.35">
      <c r="A30" s="2" t="s">
        <v>6</v>
      </c>
      <c r="B30" s="2">
        <v>70200</v>
      </c>
      <c r="C30" s="2">
        <v>12</v>
      </c>
      <c r="D30" s="2">
        <v>18</v>
      </c>
      <c r="E30" s="2">
        <v>66.7</v>
      </c>
      <c r="F30" s="3" t="s">
        <v>35</v>
      </c>
      <c r="G30" s="8">
        <v>21</v>
      </c>
    </row>
    <row r="31" spans="1:7" ht="42" x14ac:dyDescent="0.35">
      <c r="A31" s="2" t="s">
        <v>6</v>
      </c>
      <c r="B31" s="2">
        <v>70283</v>
      </c>
      <c r="C31" s="2">
        <v>12</v>
      </c>
      <c r="D31" s="2">
        <v>18</v>
      </c>
      <c r="E31" s="2">
        <v>66.7</v>
      </c>
      <c r="F31" s="3" t="s">
        <v>36</v>
      </c>
      <c r="G31" s="8">
        <v>23</v>
      </c>
    </row>
    <row r="32" spans="1:7" ht="56" x14ac:dyDescent="0.35">
      <c r="A32" s="2" t="s">
        <v>6</v>
      </c>
      <c r="B32" s="2">
        <v>70278</v>
      </c>
      <c r="C32" s="2">
        <v>11.5</v>
      </c>
      <c r="D32" s="2">
        <v>18</v>
      </c>
      <c r="E32" s="2">
        <v>63.9</v>
      </c>
      <c r="F32" s="3" t="s">
        <v>37</v>
      </c>
      <c r="G32" s="8">
        <v>23</v>
      </c>
    </row>
    <row r="33" spans="1:7" ht="56" x14ac:dyDescent="0.35">
      <c r="A33" s="2" t="s">
        <v>6</v>
      </c>
      <c r="B33" s="2">
        <v>70245</v>
      </c>
      <c r="C33" s="2">
        <v>11.25</v>
      </c>
      <c r="D33" s="2">
        <v>18</v>
      </c>
      <c r="E33" s="2">
        <v>62.5</v>
      </c>
      <c r="F33" s="3" t="s">
        <v>38</v>
      </c>
      <c r="G33" s="8">
        <v>24</v>
      </c>
    </row>
    <row r="34" spans="1:7" ht="42" x14ac:dyDescent="0.35">
      <c r="A34" s="2" t="s">
        <v>6</v>
      </c>
      <c r="B34" s="2">
        <v>70251</v>
      </c>
      <c r="C34" s="2">
        <v>11.25</v>
      </c>
      <c r="D34" s="2">
        <v>18</v>
      </c>
      <c r="E34" s="2">
        <v>62.5</v>
      </c>
      <c r="F34" s="3" t="s">
        <v>39</v>
      </c>
      <c r="G34" s="8">
        <v>21.5</v>
      </c>
    </row>
    <row r="35" spans="1:7" ht="70" x14ac:dyDescent="0.35">
      <c r="A35" s="2" t="s">
        <v>6</v>
      </c>
      <c r="B35" s="2">
        <v>70241</v>
      </c>
      <c r="C35" s="2">
        <v>11</v>
      </c>
      <c r="D35" s="2">
        <v>18</v>
      </c>
      <c r="E35" s="2">
        <v>61.1</v>
      </c>
      <c r="F35" s="3" t="s">
        <v>40</v>
      </c>
      <c r="G35" s="8">
        <v>21</v>
      </c>
    </row>
    <row r="36" spans="1:7" ht="42" x14ac:dyDescent="0.35">
      <c r="A36" s="2" t="s">
        <v>6</v>
      </c>
      <c r="B36" s="2">
        <v>70248</v>
      </c>
      <c r="C36" s="2">
        <v>10.5</v>
      </c>
      <c r="D36" s="2">
        <v>18</v>
      </c>
      <c r="E36" s="2">
        <v>58.3</v>
      </c>
      <c r="F36" s="3" t="s">
        <v>41</v>
      </c>
      <c r="G36" s="8">
        <v>23</v>
      </c>
    </row>
    <row r="37" spans="1:7" ht="42" x14ac:dyDescent="0.35">
      <c r="A37" s="2" t="s">
        <v>6</v>
      </c>
      <c r="B37" s="2">
        <v>70278</v>
      </c>
      <c r="C37" s="2">
        <v>6</v>
      </c>
      <c r="D37" s="2">
        <v>18</v>
      </c>
      <c r="E37" s="2">
        <v>33.299999999999997</v>
      </c>
      <c r="F37" s="3" t="s">
        <v>42</v>
      </c>
      <c r="G37" s="8">
        <v>23</v>
      </c>
    </row>
    <row r="38" spans="1:7" ht="42" x14ac:dyDescent="0.35">
      <c r="A38" s="2" t="s">
        <v>6</v>
      </c>
      <c r="B38" s="2">
        <v>70223</v>
      </c>
      <c r="C38" s="2">
        <v>5.5</v>
      </c>
      <c r="D38" s="2">
        <v>18</v>
      </c>
      <c r="E38" s="2">
        <v>30.6</v>
      </c>
      <c r="F38" s="3" t="s">
        <v>43</v>
      </c>
      <c r="G38" s="8">
        <v>7</v>
      </c>
    </row>
    <row r="39" spans="1:7" ht="56" x14ac:dyDescent="0.35">
      <c r="A39" s="2" t="s">
        <v>44</v>
      </c>
      <c r="B39" s="2">
        <v>68163</v>
      </c>
      <c r="C39" s="2">
        <v>29.5</v>
      </c>
      <c r="D39" s="2">
        <v>26</v>
      </c>
      <c r="E39" s="2">
        <v>113.5</v>
      </c>
      <c r="F39" s="3" t="s">
        <v>45</v>
      </c>
      <c r="G39" s="8">
        <v>30</v>
      </c>
    </row>
    <row r="40" spans="1:7" ht="56" x14ac:dyDescent="0.35">
      <c r="A40" s="2" t="s">
        <v>44</v>
      </c>
      <c r="B40" s="2">
        <v>68074</v>
      </c>
      <c r="C40" s="2">
        <v>28</v>
      </c>
      <c r="D40" s="2">
        <v>26</v>
      </c>
      <c r="E40" s="2">
        <v>107.7</v>
      </c>
      <c r="F40" s="3" t="s">
        <v>46</v>
      </c>
      <c r="G40" s="8">
        <v>26.5</v>
      </c>
    </row>
    <row r="41" spans="1:7" ht="42" x14ac:dyDescent="0.35">
      <c r="A41" s="2" t="s">
        <v>44</v>
      </c>
      <c r="B41" s="2">
        <v>68075</v>
      </c>
      <c r="C41" s="2">
        <v>27.5</v>
      </c>
      <c r="D41" s="2">
        <v>26</v>
      </c>
      <c r="E41" s="2">
        <v>105.8</v>
      </c>
      <c r="F41" s="3" t="s">
        <v>47</v>
      </c>
      <c r="G41" s="8">
        <v>27</v>
      </c>
    </row>
    <row r="42" spans="1:7" ht="42" x14ac:dyDescent="0.35">
      <c r="A42" s="2" t="s">
        <v>44</v>
      </c>
      <c r="B42" s="2">
        <v>68111</v>
      </c>
      <c r="C42" s="2">
        <v>27.5</v>
      </c>
      <c r="D42" s="2">
        <v>26</v>
      </c>
      <c r="E42" s="2">
        <v>105.8</v>
      </c>
      <c r="F42" s="3" t="s">
        <v>48</v>
      </c>
      <c r="G42" s="8">
        <v>23</v>
      </c>
    </row>
    <row r="43" spans="1:7" ht="28" x14ac:dyDescent="0.35">
      <c r="A43" s="2" t="s">
        <v>44</v>
      </c>
      <c r="B43" s="2">
        <v>68092</v>
      </c>
      <c r="C43" s="2">
        <v>26</v>
      </c>
      <c r="D43" s="2">
        <v>26</v>
      </c>
      <c r="E43" s="2">
        <v>100</v>
      </c>
      <c r="F43" s="3" t="s">
        <v>49</v>
      </c>
      <c r="G43" s="8">
        <v>30</v>
      </c>
    </row>
    <row r="44" spans="1:7" ht="42" x14ac:dyDescent="0.35">
      <c r="A44" s="2" t="s">
        <v>44</v>
      </c>
      <c r="B44" s="2">
        <v>68153</v>
      </c>
      <c r="C44" s="2">
        <v>26</v>
      </c>
      <c r="D44" s="2">
        <v>26</v>
      </c>
      <c r="E44" s="2">
        <v>100</v>
      </c>
      <c r="F44" s="3" t="s">
        <v>50</v>
      </c>
      <c r="G44" s="8">
        <v>19.5</v>
      </c>
    </row>
    <row r="45" spans="1:7" ht="42" x14ac:dyDescent="0.35">
      <c r="A45" s="2" t="s">
        <v>44</v>
      </c>
      <c r="B45" s="2">
        <v>68067</v>
      </c>
      <c r="C45" s="2">
        <v>25.5</v>
      </c>
      <c r="D45" s="2">
        <v>26</v>
      </c>
      <c r="E45" s="2">
        <v>98.1</v>
      </c>
      <c r="F45" s="3" t="s">
        <v>51</v>
      </c>
      <c r="G45" s="8">
        <v>31</v>
      </c>
    </row>
    <row r="46" spans="1:7" ht="56" x14ac:dyDescent="0.35">
      <c r="A46" s="2" t="s">
        <v>44</v>
      </c>
      <c r="B46" s="2">
        <v>68097</v>
      </c>
      <c r="C46" s="2">
        <v>25.5</v>
      </c>
      <c r="D46" s="2">
        <v>26</v>
      </c>
      <c r="E46" s="2">
        <v>98.1</v>
      </c>
      <c r="F46" s="3" t="s">
        <v>52</v>
      </c>
      <c r="G46" s="8">
        <v>23.5</v>
      </c>
    </row>
    <row r="47" spans="1:7" ht="42" x14ac:dyDescent="0.35">
      <c r="A47" s="2" t="s">
        <v>44</v>
      </c>
      <c r="B47" s="2">
        <v>68160</v>
      </c>
      <c r="C47" s="2">
        <v>25.5</v>
      </c>
      <c r="D47" s="2">
        <v>26</v>
      </c>
      <c r="E47" s="2">
        <v>98.1</v>
      </c>
      <c r="F47" s="3" t="s">
        <v>53</v>
      </c>
      <c r="G47" s="8">
        <v>21</v>
      </c>
    </row>
    <row r="48" spans="1:7" ht="56" x14ac:dyDescent="0.35">
      <c r="A48" s="2" t="s">
        <v>44</v>
      </c>
      <c r="B48" s="2">
        <v>68162</v>
      </c>
      <c r="C48" s="2">
        <v>25.25</v>
      </c>
      <c r="D48" s="2">
        <v>26</v>
      </c>
      <c r="E48" s="2">
        <v>97.1</v>
      </c>
      <c r="F48" s="3" t="s">
        <v>54</v>
      </c>
      <c r="G48" s="8">
        <v>25.5</v>
      </c>
    </row>
    <row r="49" spans="1:7" ht="42" x14ac:dyDescent="0.35">
      <c r="A49" s="2" t="s">
        <v>44</v>
      </c>
      <c r="B49" s="2">
        <v>68139</v>
      </c>
      <c r="C49" s="2">
        <v>25</v>
      </c>
      <c r="D49" s="2">
        <v>26</v>
      </c>
      <c r="E49" s="2">
        <v>96.2</v>
      </c>
      <c r="F49" s="3" t="s">
        <v>55</v>
      </c>
      <c r="G49" s="8">
        <v>29</v>
      </c>
    </row>
    <row r="50" spans="1:7" ht="56" x14ac:dyDescent="0.35">
      <c r="A50" s="2" t="s">
        <v>44</v>
      </c>
      <c r="B50" s="2">
        <v>68089</v>
      </c>
      <c r="C50" s="2">
        <v>24.75</v>
      </c>
      <c r="D50" s="2">
        <v>26</v>
      </c>
      <c r="E50" s="2">
        <v>95.2</v>
      </c>
      <c r="F50" s="3" t="s">
        <v>56</v>
      </c>
      <c r="G50" s="8">
        <v>23</v>
      </c>
    </row>
    <row r="51" spans="1:7" ht="42" x14ac:dyDescent="0.35">
      <c r="A51" s="2" t="s">
        <v>44</v>
      </c>
      <c r="B51" s="2">
        <v>68113</v>
      </c>
      <c r="C51" s="2">
        <v>24.5</v>
      </c>
      <c r="D51" s="2">
        <v>26</v>
      </c>
      <c r="E51" s="2">
        <v>94.2</v>
      </c>
      <c r="F51" s="3" t="s">
        <v>57</v>
      </c>
      <c r="G51" s="8">
        <v>24</v>
      </c>
    </row>
    <row r="52" spans="1:7" ht="42" x14ac:dyDescent="0.35">
      <c r="A52" s="2" t="s">
        <v>44</v>
      </c>
      <c r="B52" s="2">
        <v>68123</v>
      </c>
      <c r="C52" s="2">
        <v>24.5</v>
      </c>
      <c r="D52" s="2">
        <v>26</v>
      </c>
      <c r="E52" s="2">
        <v>94.2</v>
      </c>
      <c r="F52" s="3" t="s">
        <v>58</v>
      </c>
      <c r="G52" s="8">
        <v>27</v>
      </c>
    </row>
    <row r="53" spans="1:7" ht="42" x14ac:dyDescent="0.35">
      <c r="A53" s="2" t="s">
        <v>44</v>
      </c>
      <c r="B53" s="2">
        <v>68106</v>
      </c>
      <c r="C53" s="2">
        <v>25</v>
      </c>
      <c r="D53" s="2">
        <v>27</v>
      </c>
      <c r="E53" s="2">
        <v>92.6</v>
      </c>
      <c r="F53" s="3" t="s">
        <v>59</v>
      </c>
      <c r="G53" s="8">
        <v>26.5</v>
      </c>
    </row>
    <row r="54" spans="1:7" ht="42" x14ac:dyDescent="0.35">
      <c r="A54" s="2" t="s">
        <v>44</v>
      </c>
      <c r="B54" s="2">
        <v>68061</v>
      </c>
      <c r="C54" s="2">
        <v>23.75</v>
      </c>
      <c r="D54" s="2">
        <v>26</v>
      </c>
      <c r="E54" s="2">
        <v>91.3</v>
      </c>
      <c r="F54" s="3" t="s">
        <v>60</v>
      </c>
      <c r="G54" s="8">
        <v>31</v>
      </c>
    </row>
    <row r="55" spans="1:7" ht="70" x14ac:dyDescent="0.35">
      <c r="A55" s="2" t="s">
        <v>44</v>
      </c>
      <c r="B55" s="2">
        <v>68084</v>
      </c>
      <c r="C55" s="2">
        <v>23.75</v>
      </c>
      <c r="D55" s="2">
        <v>26</v>
      </c>
      <c r="E55" s="2">
        <v>91.3</v>
      </c>
      <c r="F55" s="3" t="s">
        <v>61</v>
      </c>
      <c r="G55" s="8">
        <v>30.5</v>
      </c>
    </row>
    <row r="56" spans="1:7" ht="56" x14ac:dyDescent="0.35">
      <c r="A56" s="2" t="s">
        <v>44</v>
      </c>
      <c r="B56" s="2">
        <v>68116</v>
      </c>
      <c r="C56" s="2">
        <v>23.5</v>
      </c>
      <c r="D56" s="2">
        <v>26</v>
      </c>
      <c r="E56" s="2">
        <v>90.4</v>
      </c>
      <c r="F56" s="3" t="s">
        <v>62</v>
      </c>
      <c r="G56" s="8">
        <v>25</v>
      </c>
    </row>
    <row r="57" spans="1:7" ht="42" x14ac:dyDescent="0.35">
      <c r="A57" s="2" t="s">
        <v>44</v>
      </c>
      <c r="B57" s="2">
        <v>68118</v>
      </c>
      <c r="C57" s="2">
        <v>23.5</v>
      </c>
      <c r="D57" s="2">
        <v>26</v>
      </c>
      <c r="E57" s="2">
        <v>90.4</v>
      </c>
      <c r="F57" s="3" t="s">
        <v>63</v>
      </c>
      <c r="G57" s="8">
        <v>25</v>
      </c>
    </row>
    <row r="58" spans="1:7" ht="42" x14ac:dyDescent="0.35">
      <c r="A58" s="2" t="s">
        <v>44</v>
      </c>
      <c r="B58" s="2">
        <v>68122</v>
      </c>
      <c r="C58" s="2">
        <v>23</v>
      </c>
      <c r="D58" s="2">
        <v>26</v>
      </c>
      <c r="E58" s="2">
        <v>88.5</v>
      </c>
      <c r="F58" s="3" t="s">
        <v>64</v>
      </c>
      <c r="G58" s="8">
        <v>29.5</v>
      </c>
    </row>
    <row r="59" spans="1:7" ht="42" x14ac:dyDescent="0.35">
      <c r="A59" s="2" t="s">
        <v>44</v>
      </c>
      <c r="B59" s="2">
        <v>68092</v>
      </c>
      <c r="C59" s="2">
        <v>22.75</v>
      </c>
      <c r="D59" s="2">
        <v>26</v>
      </c>
      <c r="E59" s="2">
        <v>87.5</v>
      </c>
      <c r="F59" s="3" t="s">
        <v>65</v>
      </c>
      <c r="G59" s="8">
        <v>30</v>
      </c>
    </row>
    <row r="60" spans="1:7" ht="56" x14ac:dyDescent="0.35">
      <c r="A60" s="2" t="s">
        <v>44</v>
      </c>
      <c r="B60" s="2">
        <v>68117</v>
      </c>
      <c r="C60" s="2">
        <v>22.5</v>
      </c>
      <c r="D60" s="2">
        <v>26</v>
      </c>
      <c r="E60" s="2">
        <v>86.5</v>
      </c>
      <c r="F60" s="3" t="s">
        <v>66</v>
      </c>
      <c r="G60" s="8">
        <v>23</v>
      </c>
    </row>
    <row r="61" spans="1:7" ht="42" x14ac:dyDescent="0.35">
      <c r="A61" s="2" t="s">
        <v>44</v>
      </c>
      <c r="B61" s="2">
        <v>68132</v>
      </c>
      <c r="C61" s="2">
        <v>22.5</v>
      </c>
      <c r="D61" s="2">
        <v>26</v>
      </c>
      <c r="E61" s="2">
        <v>86.5</v>
      </c>
      <c r="F61" s="3" t="s">
        <v>67</v>
      </c>
      <c r="G61" s="8">
        <v>23</v>
      </c>
    </row>
    <row r="62" spans="1:7" ht="56" x14ac:dyDescent="0.35">
      <c r="A62" s="2" t="s">
        <v>44</v>
      </c>
      <c r="B62" s="2">
        <v>68141</v>
      </c>
      <c r="C62" s="2">
        <v>22.5</v>
      </c>
      <c r="D62" s="2">
        <v>26</v>
      </c>
      <c r="E62" s="2">
        <v>86.5</v>
      </c>
      <c r="F62" s="3" t="s">
        <v>68</v>
      </c>
      <c r="G62" s="8">
        <v>23</v>
      </c>
    </row>
    <row r="63" spans="1:7" ht="56" x14ac:dyDescent="0.35">
      <c r="A63" s="2" t="s">
        <v>44</v>
      </c>
      <c r="B63" s="2">
        <v>68064</v>
      </c>
      <c r="C63" s="2">
        <v>22</v>
      </c>
      <c r="D63" s="2">
        <v>26</v>
      </c>
      <c r="E63" s="2">
        <v>84.6</v>
      </c>
      <c r="F63" s="3" t="s">
        <v>69</v>
      </c>
      <c r="G63" s="8">
        <v>24</v>
      </c>
    </row>
    <row r="64" spans="1:7" ht="56" x14ac:dyDescent="0.35">
      <c r="A64" s="2" t="s">
        <v>44</v>
      </c>
      <c r="B64" s="2">
        <v>68127</v>
      </c>
      <c r="C64" s="2">
        <v>22</v>
      </c>
      <c r="D64" s="2">
        <v>26</v>
      </c>
      <c r="E64" s="2">
        <v>84.6</v>
      </c>
      <c r="F64" s="3" t="s">
        <v>70</v>
      </c>
      <c r="G64" s="8">
        <v>16.5</v>
      </c>
    </row>
    <row r="65" spans="1:7" ht="42" x14ac:dyDescent="0.35">
      <c r="A65" s="2" t="s">
        <v>44</v>
      </c>
      <c r="B65" s="2">
        <v>68138</v>
      </c>
      <c r="C65" s="2">
        <v>22</v>
      </c>
      <c r="D65" s="2">
        <v>26</v>
      </c>
      <c r="E65" s="2">
        <v>84.6</v>
      </c>
      <c r="F65" s="3" t="s">
        <v>71</v>
      </c>
      <c r="G65" s="8">
        <v>24</v>
      </c>
    </row>
    <row r="66" spans="1:7" ht="56" x14ac:dyDescent="0.35">
      <c r="A66" s="2" t="s">
        <v>44</v>
      </c>
      <c r="B66" s="2">
        <v>68148</v>
      </c>
      <c r="C66" s="2">
        <v>22</v>
      </c>
      <c r="D66" s="2">
        <v>26</v>
      </c>
      <c r="E66" s="2">
        <v>84.6</v>
      </c>
      <c r="F66" s="3" t="s">
        <v>72</v>
      </c>
      <c r="G66" s="8">
        <v>34</v>
      </c>
    </row>
    <row r="67" spans="1:7" ht="42" x14ac:dyDescent="0.35">
      <c r="A67" s="2" t="s">
        <v>44</v>
      </c>
      <c r="B67" s="2">
        <v>68059</v>
      </c>
      <c r="C67" s="2">
        <v>21.5</v>
      </c>
      <c r="D67" s="2">
        <v>26</v>
      </c>
      <c r="E67" s="2">
        <v>82.7</v>
      </c>
      <c r="F67" s="3" t="s">
        <v>73</v>
      </c>
      <c r="G67" s="8">
        <v>24</v>
      </c>
    </row>
    <row r="68" spans="1:7" ht="56" x14ac:dyDescent="0.35">
      <c r="A68" s="2" t="s">
        <v>44</v>
      </c>
      <c r="B68" s="2">
        <v>68131</v>
      </c>
      <c r="C68" s="2">
        <v>21.5</v>
      </c>
      <c r="D68" s="2">
        <v>26</v>
      </c>
      <c r="E68" s="2">
        <v>82.7</v>
      </c>
      <c r="F68" s="3" t="s">
        <v>74</v>
      </c>
      <c r="G68" s="8">
        <v>26</v>
      </c>
    </row>
    <row r="69" spans="1:7" ht="42" x14ac:dyDescent="0.35">
      <c r="A69" s="2" t="s">
        <v>44</v>
      </c>
      <c r="B69" s="2">
        <v>68145</v>
      </c>
      <c r="C69" s="2">
        <v>21.5</v>
      </c>
      <c r="D69" s="2">
        <v>26</v>
      </c>
      <c r="E69" s="2">
        <v>82.7</v>
      </c>
      <c r="F69" s="3" t="s">
        <v>75</v>
      </c>
      <c r="G69" s="8">
        <v>22.5</v>
      </c>
    </row>
    <row r="70" spans="1:7" ht="42" x14ac:dyDescent="0.35">
      <c r="A70" s="2" t="s">
        <v>44</v>
      </c>
      <c r="B70" s="2">
        <v>68085</v>
      </c>
      <c r="C70" s="2">
        <v>21.25</v>
      </c>
      <c r="D70" s="2">
        <v>26</v>
      </c>
      <c r="E70" s="2">
        <v>81.7</v>
      </c>
      <c r="F70" s="3" t="s">
        <v>76</v>
      </c>
      <c r="G70" s="8">
        <v>26</v>
      </c>
    </row>
    <row r="71" spans="1:7" ht="56" x14ac:dyDescent="0.35">
      <c r="A71" s="2" t="s">
        <v>44</v>
      </c>
      <c r="B71" s="2">
        <v>68124</v>
      </c>
      <c r="C71" s="2">
        <v>20.5</v>
      </c>
      <c r="D71" s="2">
        <v>26</v>
      </c>
      <c r="E71" s="2">
        <v>78.8</v>
      </c>
      <c r="F71" s="3" t="s">
        <v>77</v>
      </c>
      <c r="G71" s="8">
        <v>17</v>
      </c>
    </row>
    <row r="72" spans="1:7" ht="42" x14ac:dyDescent="0.35">
      <c r="A72" s="2" t="s">
        <v>44</v>
      </c>
      <c r="B72" s="2">
        <v>68125</v>
      </c>
      <c r="C72" s="2">
        <v>20.5</v>
      </c>
      <c r="D72" s="2">
        <v>26</v>
      </c>
      <c r="E72" s="2">
        <v>78.8</v>
      </c>
      <c r="F72" s="3" t="s">
        <v>78</v>
      </c>
      <c r="G72" s="8">
        <v>15</v>
      </c>
    </row>
    <row r="73" spans="1:7" ht="56" x14ac:dyDescent="0.35">
      <c r="A73" s="2" t="s">
        <v>44</v>
      </c>
      <c r="B73" s="2">
        <v>68128</v>
      </c>
      <c r="C73" s="2">
        <v>19.75</v>
      </c>
      <c r="D73" s="2">
        <v>26</v>
      </c>
      <c r="E73" s="2">
        <v>76</v>
      </c>
      <c r="F73" s="3" t="s">
        <v>79</v>
      </c>
      <c r="G73" s="8">
        <v>28.5</v>
      </c>
    </row>
    <row r="74" spans="1:7" ht="70" x14ac:dyDescent="0.35">
      <c r="A74" s="2" t="s">
        <v>44</v>
      </c>
      <c r="B74" s="2">
        <v>68156</v>
      </c>
      <c r="C74" s="2">
        <v>19</v>
      </c>
      <c r="D74" s="2">
        <v>26</v>
      </c>
      <c r="E74" s="2">
        <v>73.099999999999994</v>
      </c>
      <c r="F74" s="3" t="s">
        <v>80</v>
      </c>
      <c r="G74" s="8">
        <v>16</v>
      </c>
    </row>
    <row r="75" spans="1:7" ht="42" x14ac:dyDescent="0.35">
      <c r="A75" s="2" t="s">
        <v>44</v>
      </c>
      <c r="B75" s="2">
        <v>68111</v>
      </c>
      <c r="C75" s="2">
        <v>18.75</v>
      </c>
      <c r="D75" s="2">
        <v>26</v>
      </c>
      <c r="E75" s="2">
        <v>72.099999999999994</v>
      </c>
      <c r="F75" s="3" t="s">
        <v>81</v>
      </c>
      <c r="G75" s="8">
        <v>23</v>
      </c>
    </row>
    <row r="76" spans="1:7" ht="56" x14ac:dyDescent="0.35">
      <c r="A76" s="2" t="s">
        <v>44</v>
      </c>
      <c r="B76" s="2">
        <v>68086</v>
      </c>
      <c r="C76" s="2">
        <v>18.5</v>
      </c>
      <c r="D76" s="2">
        <v>26</v>
      </c>
      <c r="E76" s="2">
        <v>71.2</v>
      </c>
      <c r="F76" s="3" t="s">
        <v>82</v>
      </c>
      <c r="G76" s="8">
        <v>16.5</v>
      </c>
    </row>
    <row r="77" spans="1:7" ht="56" x14ac:dyDescent="0.35">
      <c r="A77" s="2" t="s">
        <v>44</v>
      </c>
      <c r="B77" s="2">
        <v>68121</v>
      </c>
      <c r="C77" s="2">
        <v>18.25</v>
      </c>
      <c r="D77" s="2">
        <v>26</v>
      </c>
      <c r="E77" s="2">
        <v>70.2</v>
      </c>
      <c r="F77" s="3" t="s">
        <v>83</v>
      </c>
      <c r="G77" s="8">
        <v>28</v>
      </c>
    </row>
    <row r="78" spans="1:7" ht="56" x14ac:dyDescent="0.35">
      <c r="A78" s="2" t="s">
        <v>44</v>
      </c>
      <c r="B78" s="2">
        <v>68142</v>
      </c>
      <c r="C78" s="2">
        <v>18</v>
      </c>
      <c r="D78" s="2">
        <v>26</v>
      </c>
      <c r="E78" s="2">
        <v>69.2</v>
      </c>
      <c r="F78" s="3" t="s">
        <v>84</v>
      </c>
      <c r="G78" s="8">
        <v>31.5</v>
      </c>
    </row>
    <row r="79" spans="1:7" ht="56" x14ac:dyDescent="0.35">
      <c r="A79" s="2" t="s">
        <v>44</v>
      </c>
      <c r="B79" s="2">
        <v>68099</v>
      </c>
      <c r="C79" s="2">
        <v>17.5</v>
      </c>
      <c r="D79" s="2">
        <v>26</v>
      </c>
      <c r="E79" s="2">
        <v>67.3</v>
      </c>
      <c r="F79" s="3" t="s">
        <v>85</v>
      </c>
      <c r="G79" s="8">
        <v>23</v>
      </c>
    </row>
    <row r="80" spans="1:7" ht="56" x14ac:dyDescent="0.35">
      <c r="A80" s="2" t="s">
        <v>44</v>
      </c>
      <c r="B80" s="2">
        <v>68065</v>
      </c>
      <c r="C80" s="2">
        <v>15</v>
      </c>
      <c r="D80" s="2">
        <v>26</v>
      </c>
      <c r="E80" s="2">
        <v>57.7</v>
      </c>
      <c r="F80" s="3" t="s">
        <v>86</v>
      </c>
      <c r="G80" s="8">
        <v>27</v>
      </c>
    </row>
    <row r="81" spans="1:7" ht="56" x14ac:dyDescent="0.35">
      <c r="A81" s="2" t="s">
        <v>44</v>
      </c>
      <c r="B81" s="2">
        <v>68114</v>
      </c>
      <c r="C81" s="2">
        <v>15</v>
      </c>
      <c r="D81" s="2">
        <v>26</v>
      </c>
      <c r="E81" s="2">
        <v>57.7</v>
      </c>
      <c r="F81" s="3" t="s">
        <v>87</v>
      </c>
      <c r="G81" s="8">
        <v>19</v>
      </c>
    </row>
    <row r="82" spans="1:7" ht="42" x14ac:dyDescent="0.35">
      <c r="A82" s="2" t="s">
        <v>44</v>
      </c>
      <c r="B82" s="2">
        <v>68158</v>
      </c>
      <c r="C82" s="2">
        <v>13.75</v>
      </c>
      <c r="D82" s="2">
        <v>26</v>
      </c>
      <c r="E82" s="2">
        <v>52.9</v>
      </c>
      <c r="F82" s="3" t="s">
        <v>88</v>
      </c>
      <c r="G82" s="8">
        <v>14</v>
      </c>
    </row>
    <row r="83" spans="1:7" ht="56" x14ac:dyDescent="0.35">
      <c r="A83" s="12" t="s">
        <v>94</v>
      </c>
      <c r="B83" s="12">
        <v>70204</v>
      </c>
      <c r="C83" s="12">
        <v>53.5</v>
      </c>
      <c r="D83" s="12">
        <v>48</v>
      </c>
      <c r="E83" s="12">
        <v>111.5</v>
      </c>
      <c r="F83" s="13" t="s">
        <v>95</v>
      </c>
      <c r="G83" s="8">
        <v>17.5</v>
      </c>
    </row>
    <row r="84" spans="1:7" ht="42" x14ac:dyDescent="0.35">
      <c r="A84" s="12" t="s">
        <v>94</v>
      </c>
      <c r="B84" s="12">
        <v>70236</v>
      </c>
      <c r="C84" s="12">
        <v>53.5</v>
      </c>
      <c r="D84" s="12">
        <v>48</v>
      </c>
      <c r="E84" s="12">
        <v>111.5</v>
      </c>
      <c r="F84" s="13" t="s">
        <v>96</v>
      </c>
      <c r="G84" s="8">
        <v>19.5</v>
      </c>
    </row>
    <row r="85" spans="1:7" ht="42" x14ac:dyDescent="0.35">
      <c r="A85" s="12" t="s">
        <v>94</v>
      </c>
      <c r="B85" s="12">
        <v>70249</v>
      </c>
      <c r="C85" s="12">
        <v>52.5</v>
      </c>
      <c r="D85" s="12">
        <v>48</v>
      </c>
      <c r="E85" s="12">
        <v>109.4</v>
      </c>
      <c r="F85" s="13" t="s">
        <v>97</v>
      </c>
      <c r="G85" s="8">
        <v>19</v>
      </c>
    </row>
    <row r="86" spans="1:7" ht="42" x14ac:dyDescent="0.35">
      <c r="A86" s="12" t="s">
        <v>94</v>
      </c>
      <c r="B86" s="12">
        <v>70212</v>
      </c>
      <c r="C86" s="12">
        <v>51.5</v>
      </c>
      <c r="D86" s="12">
        <v>48</v>
      </c>
      <c r="E86" s="12">
        <v>107.3</v>
      </c>
      <c r="F86" s="13" t="s">
        <v>98</v>
      </c>
      <c r="G86" s="8">
        <v>15.5</v>
      </c>
    </row>
    <row r="87" spans="1:7" ht="42" x14ac:dyDescent="0.35">
      <c r="A87" s="12" t="s">
        <v>94</v>
      </c>
      <c r="B87" s="12">
        <v>70282</v>
      </c>
      <c r="C87" s="12">
        <v>50</v>
      </c>
      <c r="D87" s="12">
        <v>48</v>
      </c>
      <c r="E87" s="12">
        <v>104.2</v>
      </c>
      <c r="F87" s="13" t="s">
        <v>99</v>
      </c>
      <c r="G87" s="8">
        <v>18.5</v>
      </c>
    </row>
    <row r="88" spans="1:7" ht="42" x14ac:dyDescent="0.35">
      <c r="A88" s="12" t="s">
        <v>94</v>
      </c>
      <c r="B88" s="12">
        <v>70251</v>
      </c>
      <c r="C88" s="12">
        <v>51</v>
      </c>
      <c r="D88" s="12">
        <v>49</v>
      </c>
      <c r="E88" s="12">
        <v>104.1</v>
      </c>
      <c r="F88" s="13" t="s">
        <v>100</v>
      </c>
      <c r="G88" s="8">
        <v>21</v>
      </c>
    </row>
    <row r="89" spans="1:7" ht="42" x14ac:dyDescent="0.35">
      <c r="A89" s="12" t="s">
        <v>94</v>
      </c>
      <c r="B89" s="12">
        <v>70240</v>
      </c>
      <c r="C89" s="12">
        <v>49.5</v>
      </c>
      <c r="D89" s="12">
        <v>48</v>
      </c>
      <c r="E89" s="12">
        <v>103.1</v>
      </c>
      <c r="F89" s="13" t="s">
        <v>101</v>
      </c>
      <c r="G89" s="8">
        <v>14</v>
      </c>
    </row>
    <row r="90" spans="1:7" ht="42" x14ac:dyDescent="0.35">
      <c r="A90" s="12" t="s">
        <v>94</v>
      </c>
      <c r="B90" s="12">
        <v>70228</v>
      </c>
      <c r="C90" s="12">
        <v>49</v>
      </c>
      <c r="D90" s="12">
        <v>48</v>
      </c>
      <c r="E90" s="12">
        <v>102.1</v>
      </c>
      <c r="F90" s="13" t="s">
        <v>102</v>
      </c>
      <c r="G90" s="8">
        <v>16</v>
      </c>
    </row>
    <row r="91" spans="1:7" ht="42" x14ac:dyDescent="0.35">
      <c r="A91" s="12" t="s">
        <v>94</v>
      </c>
      <c r="B91" s="12">
        <v>70252</v>
      </c>
      <c r="C91" s="12">
        <v>49</v>
      </c>
      <c r="D91" s="12">
        <v>48</v>
      </c>
      <c r="E91" s="12">
        <v>102.1</v>
      </c>
      <c r="F91" s="13" t="s">
        <v>103</v>
      </c>
      <c r="G91" s="8">
        <v>17.5</v>
      </c>
    </row>
    <row r="92" spans="1:7" ht="56" x14ac:dyDescent="0.35">
      <c r="A92" s="12" t="s">
        <v>94</v>
      </c>
      <c r="B92" s="12">
        <v>70255</v>
      </c>
      <c r="C92" s="12">
        <v>49</v>
      </c>
      <c r="D92" s="12">
        <v>48</v>
      </c>
      <c r="E92" s="12">
        <v>102.1</v>
      </c>
      <c r="F92" s="13" t="s">
        <v>104</v>
      </c>
      <c r="G92" s="8">
        <v>20.5</v>
      </c>
    </row>
    <row r="93" spans="1:7" ht="42" x14ac:dyDescent="0.35">
      <c r="A93" s="12" t="s">
        <v>94</v>
      </c>
      <c r="B93" s="12">
        <v>70251</v>
      </c>
      <c r="C93" s="12">
        <v>48.5</v>
      </c>
      <c r="D93" s="12">
        <v>48</v>
      </c>
      <c r="E93" s="12">
        <v>101</v>
      </c>
      <c r="F93" s="13" t="s">
        <v>105</v>
      </c>
      <c r="G93" s="8">
        <v>21</v>
      </c>
    </row>
    <row r="94" spans="1:7" ht="28" x14ac:dyDescent="0.35">
      <c r="A94" s="12" t="s">
        <v>94</v>
      </c>
      <c r="B94" s="12">
        <v>70264</v>
      </c>
      <c r="C94" s="12">
        <v>48.5</v>
      </c>
      <c r="D94" s="12">
        <v>48</v>
      </c>
      <c r="E94" s="12">
        <v>101</v>
      </c>
      <c r="F94" s="13" t="s">
        <v>106</v>
      </c>
      <c r="G94" s="8">
        <v>17.5</v>
      </c>
    </row>
    <row r="95" spans="1:7" ht="42" x14ac:dyDescent="0.35">
      <c r="A95" s="12" t="s">
        <v>94</v>
      </c>
      <c r="B95" s="12">
        <v>70278</v>
      </c>
      <c r="C95" s="12">
        <v>48.5</v>
      </c>
      <c r="D95" s="12">
        <v>48</v>
      </c>
      <c r="E95" s="12">
        <v>101</v>
      </c>
      <c r="F95" s="13" t="s">
        <v>107</v>
      </c>
      <c r="G95" s="8">
        <v>17.5</v>
      </c>
    </row>
    <row r="96" spans="1:7" ht="42" x14ac:dyDescent="0.35">
      <c r="A96" s="12" t="s">
        <v>94</v>
      </c>
      <c r="B96" s="12">
        <v>70279</v>
      </c>
      <c r="C96" s="12">
        <v>48.5</v>
      </c>
      <c r="D96" s="12">
        <v>48</v>
      </c>
      <c r="E96" s="12">
        <v>101</v>
      </c>
      <c r="F96" s="13" t="s">
        <v>108</v>
      </c>
      <c r="G96" s="8">
        <v>14.5</v>
      </c>
    </row>
    <row r="97" spans="1:7" ht="42" x14ac:dyDescent="0.35">
      <c r="A97" s="12" t="s">
        <v>94</v>
      </c>
      <c r="B97" s="12">
        <v>70283</v>
      </c>
      <c r="C97" s="12">
        <v>48.5</v>
      </c>
      <c r="D97" s="12">
        <v>48</v>
      </c>
      <c r="E97" s="12">
        <v>101</v>
      </c>
      <c r="F97" s="13" t="s">
        <v>109</v>
      </c>
      <c r="G97" s="8">
        <v>15.5</v>
      </c>
    </row>
    <row r="98" spans="1:7" ht="28" x14ac:dyDescent="0.35">
      <c r="A98" s="12" t="s">
        <v>94</v>
      </c>
      <c r="B98" s="12">
        <v>70219</v>
      </c>
      <c r="C98" s="12">
        <v>48</v>
      </c>
      <c r="D98" s="12">
        <v>48</v>
      </c>
      <c r="E98" s="12">
        <v>100</v>
      </c>
      <c r="F98" s="13" t="s">
        <v>110</v>
      </c>
      <c r="G98" s="8">
        <v>18.5</v>
      </c>
    </row>
    <row r="99" spans="1:7" ht="56" x14ac:dyDescent="0.35">
      <c r="A99" s="12" t="s">
        <v>94</v>
      </c>
      <c r="B99" s="12">
        <v>70241</v>
      </c>
      <c r="C99" s="12">
        <v>48</v>
      </c>
      <c r="D99" s="12">
        <v>48</v>
      </c>
      <c r="E99" s="12">
        <v>100</v>
      </c>
      <c r="F99" s="13" t="s">
        <v>111</v>
      </c>
      <c r="G99" s="8">
        <v>17.5</v>
      </c>
    </row>
    <row r="100" spans="1:7" ht="28" x14ac:dyDescent="0.35">
      <c r="A100" s="12" t="s">
        <v>94</v>
      </c>
      <c r="B100" s="12">
        <v>70278</v>
      </c>
      <c r="C100" s="12">
        <v>48</v>
      </c>
      <c r="D100" s="12">
        <v>48</v>
      </c>
      <c r="E100" s="12">
        <v>100</v>
      </c>
      <c r="F100" s="13" t="s">
        <v>112</v>
      </c>
      <c r="G100" s="8">
        <v>17.5</v>
      </c>
    </row>
    <row r="101" spans="1:7" ht="28" x14ac:dyDescent="0.35">
      <c r="A101" s="12" t="s">
        <v>94</v>
      </c>
      <c r="B101" s="12">
        <v>70279</v>
      </c>
      <c r="C101" s="12">
        <v>48</v>
      </c>
      <c r="D101" s="12">
        <v>48</v>
      </c>
      <c r="E101" s="12">
        <v>100</v>
      </c>
      <c r="F101" s="13" t="s">
        <v>113</v>
      </c>
      <c r="G101" s="8">
        <v>14.5</v>
      </c>
    </row>
    <row r="102" spans="1:7" ht="42" x14ac:dyDescent="0.35">
      <c r="A102" s="12" t="s">
        <v>94</v>
      </c>
      <c r="B102" s="12">
        <v>70238</v>
      </c>
      <c r="C102" s="12">
        <v>47.75</v>
      </c>
      <c r="D102" s="12">
        <v>48</v>
      </c>
      <c r="E102" s="12">
        <v>99.5</v>
      </c>
      <c r="F102" s="13" t="s">
        <v>114</v>
      </c>
      <c r="G102" s="8">
        <v>22</v>
      </c>
    </row>
    <row r="103" spans="1:7" ht="42" x14ac:dyDescent="0.35">
      <c r="A103" s="12" t="s">
        <v>94</v>
      </c>
      <c r="B103" s="12">
        <v>70223</v>
      </c>
      <c r="C103" s="12">
        <v>49.5</v>
      </c>
      <c r="D103" s="12">
        <v>50</v>
      </c>
      <c r="E103" s="12">
        <v>99</v>
      </c>
      <c r="F103" s="13" t="s">
        <v>115</v>
      </c>
      <c r="G103" s="8">
        <v>17.5</v>
      </c>
    </row>
    <row r="104" spans="1:7" ht="42" x14ac:dyDescent="0.35">
      <c r="A104" s="12" t="s">
        <v>94</v>
      </c>
      <c r="B104" s="12">
        <v>70197</v>
      </c>
      <c r="C104" s="12">
        <v>47.5</v>
      </c>
      <c r="D104" s="12">
        <v>48</v>
      </c>
      <c r="E104" s="12">
        <v>98.9</v>
      </c>
      <c r="F104" s="13" t="s">
        <v>116</v>
      </c>
      <c r="G104" s="8">
        <v>16.5</v>
      </c>
    </row>
    <row r="105" spans="1:7" ht="56" x14ac:dyDescent="0.35">
      <c r="A105" s="12" t="s">
        <v>94</v>
      </c>
      <c r="B105" s="12">
        <v>70252</v>
      </c>
      <c r="C105" s="12">
        <v>46.75</v>
      </c>
      <c r="D105" s="12">
        <v>48</v>
      </c>
      <c r="E105" s="12">
        <v>97.4</v>
      </c>
      <c r="F105" s="13" t="s">
        <v>117</v>
      </c>
      <c r="G105" s="8">
        <v>17.5</v>
      </c>
    </row>
    <row r="106" spans="1:7" ht="42" x14ac:dyDescent="0.35">
      <c r="A106" s="12" t="s">
        <v>94</v>
      </c>
      <c r="B106" s="12">
        <v>70213</v>
      </c>
      <c r="C106" s="12">
        <v>46.5</v>
      </c>
      <c r="D106" s="12">
        <v>48</v>
      </c>
      <c r="E106" s="12">
        <v>96.9</v>
      </c>
      <c r="F106" s="13" t="s">
        <v>118</v>
      </c>
      <c r="G106" s="8">
        <v>17</v>
      </c>
    </row>
    <row r="107" spans="1:7" ht="42" x14ac:dyDescent="0.35">
      <c r="A107" s="12" t="s">
        <v>94</v>
      </c>
      <c r="B107" s="12">
        <v>70233</v>
      </c>
      <c r="C107" s="12">
        <v>46.5</v>
      </c>
      <c r="D107" s="12">
        <v>48</v>
      </c>
      <c r="E107" s="12">
        <v>96.9</v>
      </c>
      <c r="F107" s="13" t="s">
        <v>119</v>
      </c>
      <c r="G107" s="8">
        <v>16.5</v>
      </c>
    </row>
    <row r="108" spans="1:7" ht="42" x14ac:dyDescent="0.35">
      <c r="A108" s="12" t="s">
        <v>94</v>
      </c>
      <c r="B108" s="12">
        <v>70239</v>
      </c>
      <c r="C108" s="12">
        <v>46</v>
      </c>
      <c r="D108" s="12">
        <v>48</v>
      </c>
      <c r="E108" s="12">
        <v>95.8</v>
      </c>
      <c r="F108" s="13" t="s">
        <v>120</v>
      </c>
      <c r="G108" s="8">
        <v>18.5</v>
      </c>
    </row>
    <row r="109" spans="1:7" ht="42" x14ac:dyDescent="0.35">
      <c r="A109" s="12" t="s">
        <v>94</v>
      </c>
      <c r="B109" s="12">
        <v>70216</v>
      </c>
      <c r="C109" s="12">
        <v>44.5</v>
      </c>
      <c r="D109" s="12">
        <v>48</v>
      </c>
      <c r="E109" s="12">
        <v>92.7</v>
      </c>
      <c r="F109" s="13" t="s">
        <v>121</v>
      </c>
      <c r="G109" s="8">
        <v>17.5</v>
      </c>
    </row>
    <row r="110" spans="1:7" ht="56" x14ac:dyDescent="0.35">
      <c r="A110" s="12" t="s">
        <v>94</v>
      </c>
      <c r="B110" s="12">
        <v>70205</v>
      </c>
      <c r="C110" s="12">
        <v>44</v>
      </c>
      <c r="D110" s="12">
        <v>48</v>
      </c>
      <c r="E110" s="12">
        <v>91.7</v>
      </c>
      <c r="F110" s="13" t="s">
        <v>122</v>
      </c>
      <c r="G110" s="8">
        <v>16</v>
      </c>
    </row>
    <row r="111" spans="1:7" ht="42" x14ac:dyDescent="0.35">
      <c r="A111" s="12" t="s">
        <v>94</v>
      </c>
      <c r="B111" s="12">
        <v>70248</v>
      </c>
      <c r="C111" s="12">
        <v>43</v>
      </c>
      <c r="D111" s="12">
        <v>48</v>
      </c>
      <c r="E111" s="12">
        <v>89.6</v>
      </c>
      <c r="F111" s="13" t="s">
        <v>123</v>
      </c>
      <c r="G111" s="8">
        <v>21</v>
      </c>
    </row>
    <row r="112" spans="1:7" ht="42" x14ac:dyDescent="0.35">
      <c r="A112" s="12" t="s">
        <v>94</v>
      </c>
      <c r="B112" s="12">
        <v>70277</v>
      </c>
      <c r="C112" s="12">
        <v>42.5</v>
      </c>
      <c r="D112" s="12">
        <v>48</v>
      </c>
      <c r="E112" s="12">
        <v>88.5</v>
      </c>
      <c r="F112" s="13" t="s">
        <v>124</v>
      </c>
      <c r="G112" s="8">
        <v>17.5</v>
      </c>
    </row>
    <row r="113" spans="1:7" ht="56" x14ac:dyDescent="0.35">
      <c r="A113" s="12" t="s">
        <v>94</v>
      </c>
      <c r="B113" s="12">
        <v>70245</v>
      </c>
      <c r="C113" s="12">
        <v>41.75</v>
      </c>
      <c r="D113" s="12">
        <v>48</v>
      </c>
      <c r="E113" s="12">
        <v>87</v>
      </c>
      <c r="F113" s="13" t="s">
        <v>125</v>
      </c>
      <c r="G113" s="8">
        <v>18.5</v>
      </c>
    </row>
    <row r="114" spans="1:7" ht="28" x14ac:dyDescent="0.35">
      <c r="A114" s="12" t="s">
        <v>94</v>
      </c>
      <c r="B114" s="12">
        <v>70199</v>
      </c>
      <c r="C114" s="12">
        <v>41.5</v>
      </c>
      <c r="D114" s="12">
        <v>48</v>
      </c>
      <c r="E114" s="12">
        <v>86.5</v>
      </c>
      <c r="F114" s="13" t="s">
        <v>126</v>
      </c>
      <c r="G114" s="8">
        <v>18.5</v>
      </c>
    </row>
    <row r="115" spans="1:7" ht="42" x14ac:dyDescent="0.35">
      <c r="A115" s="12" t="s">
        <v>94</v>
      </c>
      <c r="B115" s="12">
        <v>70248</v>
      </c>
      <c r="C115" s="12">
        <v>41.5</v>
      </c>
      <c r="D115" s="12">
        <v>48</v>
      </c>
      <c r="E115" s="12">
        <v>86.5</v>
      </c>
      <c r="F115" s="13" t="s">
        <v>127</v>
      </c>
      <c r="G115" s="8">
        <v>21</v>
      </c>
    </row>
    <row r="116" spans="1:7" ht="42" x14ac:dyDescent="0.35">
      <c r="A116" s="12" t="s">
        <v>94</v>
      </c>
      <c r="B116" s="12">
        <v>70276</v>
      </c>
      <c r="C116" s="12">
        <v>40</v>
      </c>
      <c r="D116" s="12">
        <v>48</v>
      </c>
      <c r="E116" s="12">
        <v>83.3</v>
      </c>
      <c r="F116" s="13" t="s">
        <v>128</v>
      </c>
      <c r="G116" s="8">
        <v>18.5</v>
      </c>
    </row>
    <row r="117" spans="1:7" ht="42" x14ac:dyDescent="0.35">
      <c r="A117" s="12" t="s">
        <v>94</v>
      </c>
      <c r="B117" s="12">
        <v>70256</v>
      </c>
      <c r="C117" s="12">
        <v>39</v>
      </c>
      <c r="D117" s="12">
        <v>48</v>
      </c>
      <c r="E117" s="12">
        <v>81.2</v>
      </c>
      <c r="F117" s="13" t="s">
        <v>129</v>
      </c>
      <c r="G117" s="8">
        <v>13</v>
      </c>
    </row>
    <row r="118" spans="1:7" ht="42" x14ac:dyDescent="0.35">
      <c r="A118" s="12" t="s">
        <v>94</v>
      </c>
      <c r="B118" s="12">
        <v>70291</v>
      </c>
      <c r="C118" s="12">
        <v>38.5</v>
      </c>
      <c r="D118" s="12">
        <v>48</v>
      </c>
      <c r="E118" s="12">
        <v>80.2</v>
      </c>
      <c r="F118" s="13" t="s">
        <v>130</v>
      </c>
      <c r="G118" s="8">
        <v>19</v>
      </c>
    </row>
    <row r="119" spans="1:7" ht="56" x14ac:dyDescent="0.35">
      <c r="A119" s="12" t="s">
        <v>94</v>
      </c>
      <c r="B119" s="12">
        <v>70250</v>
      </c>
      <c r="C119" s="12">
        <v>37.75</v>
      </c>
      <c r="D119" s="12">
        <v>48</v>
      </c>
      <c r="E119" s="12">
        <v>78.599999999999994</v>
      </c>
      <c r="F119" s="13" t="s">
        <v>131</v>
      </c>
      <c r="G119" s="8">
        <v>20</v>
      </c>
    </row>
    <row r="120" spans="1:7" ht="42" x14ac:dyDescent="0.35">
      <c r="A120" s="12" t="s">
        <v>94</v>
      </c>
      <c r="B120" s="12">
        <v>70200</v>
      </c>
      <c r="C120" s="12">
        <v>36.5</v>
      </c>
      <c r="D120" s="12">
        <v>48</v>
      </c>
      <c r="E120" s="12">
        <v>76</v>
      </c>
      <c r="F120" s="13" t="s">
        <v>132</v>
      </c>
      <c r="G120" s="8">
        <v>21.5</v>
      </c>
    </row>
    <row r="121" spans="1:7" ht="56" x14ac:dyDescent="0.35">
      <c r="A121" s="12" t="s">
        <v>94</v>
      </c>
      <c r="B121" s="12">
        <v>70234</v>
      </c>
      <c r="C121" s="12">
        <v>33</v>
      </c>
      <c r="D121" s="12">
        <v>48</v>
      </c>
      <c r="E121" s="12">
        <v>68.8</v>
      </c>
      <c r="F121" s="13" t="s">
        <v>133</v>
      </c>
      <c r="G121" s="8">
        <v>15.5</v>
      </c>
    </row>
    <row r="122" spans="1:7" ht="42" x14ac:dyDescent="0.35">
      <c r="A122" s="12" t="s">
        <v>94</v>
      </c>
      <c r="B122" s="12">
        <v>70197</v>
      </c>
      <c r="C122" s="12">
        <v>17.5</v>
      </c>
      <c r="D122" s="12">
        <v>48</v>
      </c>
      <c r="E122" s="12">
        <v>36.5</v>
      </c>
      <c r="F122" s="13" t="s">
        <v>134</v>
      </c>
      <c r="G122" s="8">
        <v>16.5</v>
      </c>
    </row>
    <row r="123" spans="1:7" ht="56" x14ac:dyDescent="0.35">
      <c r="A123" s="12" t="s">
        <v>135</v>
      </c>
      <c r="B123" s="12">
        <v>68124</v>
      </c>
      <c r="C123" s="12">
        <v>27.5</v>
      </c>
      <c r="D123" s="12">
        <v>27</v>
      </c>
      <c r="E123" s="12">
        <v>101.9</v>
      </c>
      <c r="F123" s="13" t="s">
        <v>136</v>
      </c>
      <c r="G123" s="8">
        <v>17</v>
      </c>
    </row>
    <row r="124" spans="1:7" ht="28" x14ac:dyDescent="0.35">
      <c r="A124" s="12" t="s">
        <v>135</v>
      </c>
      <c r="B124" s="12">
        <v>68092</v>
      </c>
      <c r="C124" s="12">
        <v>27</v>
      </c>
      <c r="D124" s="12">
        <v>27</v>
      </c>
      <c r="E124" s="12">
        <v>100</v>
      </c>
      <c r="F124" s="13" t="s">
        <v>137</v>
      </c>
      <c r="G124" s="8">
        <v>16</v>
      </c>
    </row>
    <row r="125" spans="1:7" ht="42" x14ac:dyDescent="0.35">
      <c r="A125" s="12" t="s">
        <v>135</v>
      </c>
      <c r="B125" s="12">
        <v>68145</v>
      </c>
      <c r="C125" s="12">
        <v>27</v>
      </c>
      <c r="D125" s="12">
        <v>27</v>
      </c>
      <c r="E125" s="12">
        <v>100</v>
      </c>
      <c r="F125" s="13" t="s">
        <v>138</v>
      </c>
      <c r="G125" s="8">
        <v>16</v>
      </c>
    </row>
    <row r="126" spans="1:7" ht="42" x14ac:dyDescent="0.35">
      <c r="A126" s="12" t="s">
        <v>135</v>
      </c>
      <c r="B126" s="12">
        <v>68158</v>
      </c>
      <c r="C126" s="12">
        <v>27</v>
      </c>
      <c r="D126" s="12">
        <v>27</v>
      </c>
      <c r="E126" s="12">
        <v>100</v>
      </c>
      <c r="F126" s="13" t="s">
        <v>139</v>
      </c>
      <c r="G126" s="8">
        <v>11.5</v>
      </c>
    </row>
    <row r="127" spans="1:7" ht="56" x14ac:dyDescent="0.35">
      <c r="A127" s="12" t="s">
        <v>135</v>
      </c>
      <c r="B127" s="12">
        <v>68061</v>
      </c>
      <c r="C127" s="12">
        <v>26.5</v>
      </c>
      <c r="D127" s="12">
        <v>27</v>
      </c>
      <c r="E127" s="12">
        <v>98.1</v>
      </c>
      <c r="F127" s="13" t="s">
        <v>140</v>
      </c>
      <c r="G127" s="8">
        <v>13</v>
      </c>
    </row>
    <row r="128" spans="1:7" ht="42" x14ac:dyDescent="0.35">
      <c r="A128" s="12" t="s">
        <v>135</v>
      </c>
      <c r="B128" s="12">
        <v>68114</v>
      </c>
      <c r="C128" s="12">
        <v>26</v>
      </c>
      <c r="D128" s="12">
        <v>27</v>
      </c>
      <c r="E128" s="12">
        <v>96.3</v>
      </c>
      <c r="F128" s="13" t="s">
        <v>141</v>
      </c>
      <c r="G128" s="8">
        <v>17</v>
      </c>
    </row>
    <row r="129" spans="1:7" ht="42" x14ac:dyDescent="0.35">
      <c r="A129" s="12" t="s">
        <v>135</v>
      </c>
      <c r="B129" s="12">
        <v>68162</v>
      </c>
      <c r="C129" s="12">
        <v>25.75</v>
      </c>
      <c r="D129" s="12">
        <v>27</v>
      </c>
      <c r="E129" s="12">
        <v>95.4</v>
      </c>
      <c r="F129" s="13" t="s">
        <v>142</v>
      </c>
      <c r="G129" s="8">
        <v>16</v>
      </c>
    </row>
    <row r="130" spans="1:7" ht="42" x14ac:dyDescent="0.35">
      <c r="A130" s="12" t="s">
        <v>135</v>
      </c>
      <c r="B130" s="12">
        <v>68074</v>
      </c>
      <c r="C130" s="12">
        <v>25</v>
      </c>
      <c r="D130" s="12">
        <v>27</v>
      </c>
      <c r="E130" s="12">
        <v>92.6</v>
      </c>
      <c r="F130" s="13" t="s">
        <v>143</v>
      </c>
      <c r="G130" s="8">
        <v>13</v>
      </c>
    </row>
    <row r="131" spans="1:7" ht="56" x14ac:dyDescent="0.35">
      <c r="A131" s="12" t="s">
        <v>135</v>
      </c>
      <c r="B131" s="12">
        <v>68121</v>
      </c>
      <c r="C131" s="12">
        <v>25</v>
      </c>
      <c r="D131" s="12">
        <v>27</v>
      </c>
      <c r="E131" s="12">
        <v>92.6</v>
      </c>
      <c r="F131" s="13" t="s">
        <v>144</v>
      </c>
      <c r="G131" s="8">
        <v>9.5</v>
      </c>
    </row>
    <row r="132" spans="1:7" ht="42" x14ac:dyDescent="0.35">
      <c r="A132" s="12" t="s">
        <v>135</v>
      </c>
      <c r="B132" s="12">
        <v>68141</v>
      </c>
      <c r="C132" s="12">
        <v>25</v>
      </c>
      <c r="D132" s="12">
        <v>27</v>
      </c>
      <c r="E132" s="12">
        <v>92.6</v>
      </c>
      <c r="F132" s="13" t="s">
        <v>145</v>
      </c>
      <c r="G132" s="8">
        <v>18</v>
      </c>
    </row>
    <row r="133" spans="1:7" ht="42" x14ac:dyDescent="0.35">
      <c r="A133" s="12" t="s">
        <v>135</v>
      </c>
      <c r="B133" s="12">
        <v>68065</v>
      </c>
      <c r="C133" s="12">
        <v>24.5</v>
      </c>
      <c r="D133" s="12">
        <v>27</v>
      </c>
      <c r="E133" s="12">
        <v>90.7</v>
      </c>
      <c r="F133" s="13" t="s">
        <v>146</v>
      </c>
      <c r="G133" s="8">
        <v>16</v>
      </c>
    </row>
    <row r="134" spans="1:7" ht="56" x14ac:dyDescent="0.35">
      <c r="A134" s="12" t="s">
        <v>135</v>
      </c>
      <c r="B134" s="12">
        <v>68117</v>
      </c>
      <c r="C134" s="12">
        <v>24.5</v>
      </c>
      <c r="D134" s="12">
        <v>27</v>
      </c>
      <c r="E134" s="12">
        <v>90.7</v>
      </c>
      <c r="F134" s="13" t="s">
        <v>147</v>
      </c>
      <c r="G134" s="8">
        <v>16</v>
      </c>
    </row>
    <row r="135" spans="1:7" ht="56" x14ac:dyDescent="0.35">
      <c r="A135" s="12" t="s">
        <v>135</v>
      </c>
      <c r="B135" s="12">
        <v>68127</v>
      </c>
      <c r="C135" s="12">
        <v>24.5</v>
      </c>
      <c r="D135" s="12">
        <v>27</v>
      </c>
      <c r="E135" s="12">
        <v>90.7</v>
      </c>
      <c r="F135" s="13" t="s">
        <v>148</v>
      </c>
      <c r="G135" s="8">
        <v>18</v>
      </c>
    </row>
    <row r="136" spans="1:7" ht="70" x14ac:dyDescent="0.35">
      <c r="A136" s="12" t="s">
        <v>135</v>
      </c>
      <c r="B136" s="12">
        <v>68142</v>
      </c>
      <c r="C136" s="12">
        <v>23</v>
      </c>
      <c r="D136" s="12">
        <v>27</v>
      </c>
      <c r="E136" s="12">
        <v>85.2</v>
      </c>
      <c r="F136" s="13" t="s">
        <v>149</v>
      </c>
      <c r="G136" s="8">
        <v>16</v>
      </c>
    </row>
    <row r="137" spans="1:7" ht="42" x14ac:dyDescent="0.35">
      <c r="A137" s="12" t="s">
        <v>135</v>
      </c>
      <c r="B137" s="12">
        <v>68067</v>
      </c>
      <c r="C137" s="12">
        <v>22.5</v>
      </c>
      <c r="D137" s="12">
        <v>27</v>
      </c>
      <c r="E137" s="12">
        <v>83.3</v>
      </c>
      <c r="F137" s="13" t="s">
        <v>150</v>
      </c>
      <c r="G137" s="8">
        <v>18</v>
      </c>
    </row>
    <row r="138" spans="1:7" ht="42" x14ac:dyDescent="0.35">
      <c r="A138" s="12" t="s">
        <v>135</v>
      </c>
      <c r="B138" s="12">
        <v>68131</v>
      </c>
      <c r="C138" s="12">
        <v>22.5</v>
      </c>
      <c r="D138" s="12">
        <v>27</v>
      </c>
      <c r="E138" s="12">
        <v>83.3</v>
      </c>
      <c r="F138" s="13" t="s">
        <v>151</v>
      </c>
      <c r="G138" s="8">
        <v>15.5</v>
      </c>
    </row>
    <row r="139" spans="1:7" ht="42" x14ac:dyDescent="0.35">
      <c r="A139" s="12" t="s">
        <v>135</v>
      </c>
      <c r="B139" s="12">
        <v>68092</v>
      </c>
      <c r="C139" s="12">
        <v>21.5</v>
      </c>
      <c r="D139" s="12">
        <v>27</v>
      </c>
      <c r="E139" s="12">
        <v>79.599999999999994</v>
      </c>
      <c r="F139" s="13" t="s">
        <v>152</v>
      </c>
      <c r="G139" s="8">
        <v>16</v>
      </c>
    </row>
    <row r="140" spans="1:7" ht="56" x14ac:dyDescent="0.35">
      <c r="A140" s="12" t="s">
        <v>135</v>
      </c>
      <c r="B140" s="12">
        <v>68097</v>
      </c>
      <c r="C140" s="12">
        <v>21</v>
      </c>
      <c r="D140" s="12">
        <v>27</v>
      </c>
      <c r="E140" s="12">
        <v>77.8</v>
      </c>
      <c r="F140" s="13" t="s">
        <v>153</v>
      </c>
      <c r="G140" s="8">
        <v>18</v>
      </c>
    </row>
    <row r="141" spans="1:7" ht="42" x14ac:dyDescent="0.35">
      <c r="A141" s="12" t="s">
        <v>135</v>
      </c>
      <c r="B141" s="12">
        <v>68122</v>
      </c>
      <c r="C141" s="12">
        <v>21</v>
      </c>
      <c r="D141" s="12">
        <v>27</v>
      </c>
      <c r="E141" s="12">
        <v>77.8</v>
      </c>
      <c r="F141" s="13" t="s">
        <v>154</v>
      </c>
      <c r="G141" s="8">
        <v>18</v>
      </c>
    </row>
    <row r="142" spans="1:7" ht="56" x14ac:dyDescent="0.35">
      <c r="A142" s="12" t="s">
        <v>135</v>
      </c>
      <c r="B142" s="12">
        <v>68089</v>
      </c>
      <c r="C142" s="12">
        <v>20</v>
      </c>
      <c r="D142" s="12">
        <v>27</v>
      </c>
      <c r="E142" s="12">
        <v>74.099999999999994</v>
      </c>
      <c r="F142" s="13" t="s">
        <v>155</v>
      </c>
      <c r="G142" s="8">
        <v>15.5</v>
      </c>
    </row>
    <row r="143" spans="1:7" ht="56" x14ac:dyDescent="0.35">
      <c r="A143" s="12" t="s">
        <v>135</v>
      </c>
      <c r="B143" s="12">
        <v>68123</v>
      </c>
      <c r="C143" s="12">
        <v>19.5</v>
      </c>
      <c r="D143" s="12">
        <v>27</v>
      </c>
      <c r="E143" s="12">
        <v>72.2</v>
      </c>
      <c r="F143" s="13" t="s">
        <v>156</v>
      </c>
      <c r="G143" s="8">
        <v>19</v>
      </c>
    </row>
    <row r="144" spans="1:7" ht="56" x14ac:dyDescent="0.35">
      <c r="A144" s="12" t="s">
        <v>135</v>
      </c>
      <c r="B144" s="12">
        <v>68138</v>
      </c>
      <c r="C144" s="12">
        <v>19.5</v>
      </c>
      <c r="D144" s="12">
        <v>27</v>
      </c>
      <c r="E144" s="12">
        <v>72.2</v>
      </c>
      <c r="F144" s="13" t="s">
        <v>157</v>
      </c>
      <c r="G144" s="8">
        <v>14</v>
      </c>
    </row>
    <row r="145" spans="1:7" ht="42" x14ac:dyDescent="0.35">
      <c r="A145" s="12" t="s">
        <v>135</v>
      </c>
      <c r="B145" s="12">
        <v>68163</v>
      </c>
      <c r="C145" s="12">
        <v>19.5</v>
      </c>
      <c r="D145" s="12">
        <v>27</v>
      </c>
      <c r="E145" s="12">
        <v>72.2</v>
      </c>
      <c r="F145" s="13" t="s">
        <v>158</v>
      </c>
      <c r="G145" s="8">
        <v>18</v>
      </c>
    </row>
    <row r="146" spans="1:7" ht="42" x14ac:dyDescent="0.35">
      <c r="A146" s="12" t="s">
        <v>135</v>
      </c>
      <c r="B146" s="12">
        <v>68086</v>
      </c>
      <c r="C146" s="12">
        <v>18.5</v>
      </c>
      <c r="D146" s="12">
        <v>27</v>
      </c>
      <c r="E146" s="12">
        <v>68.5</v>
      </c>
      <c r="F146" s="13" t="s">
        <v>159</v>
      </c>
      <c r="G146" s="8">
        <v>12</v>
      </c>
    </row>
    <row r="147" spans="1:7" ht="56" x14ac:dyDescent="0.35">
      <c r="A147" s="12" t="s">
        <v>135</v>
      </c>
      <c r="B147" s="12">
        <v>68106</v>
      </c>
      <c r="C147" s="12">
        <v>18.5</v>
      </c>
      <c r="D147" s="12">
        <v>27</v>
      </c>
      <c r="E147" s="12">
        <v>68.5</v>
      </c>
      <c r="F147" s="13" t="s">
        <v>160</v>
      </c>
      <c r="G147" s="8">
        <v>14</v>
      </c>
    </row>
    <row r="148" spans="1:7" ht="42" x14ac:dyDescent="0.35">
      <c r="A148" s="12" t="s">
        <v>135</v>
      </c>
      <c r="B148" s="12">
        <v>68139</v>
      </c>
      <c r="C148" s="12">
        <v>18</v>
      </c>
      <c r="D148" s="12">
        <v>27</v>
      </c>
      <c r="E148" s="12">
        <v>66.7</v>
      </c>
      <c r="F148" s="13" t="s">
        <v>161</v>
      </c>
      <c r="G148" s="8">
        <v>16</v>
      </c>
    </row>
    <row r="149" spans="1:7" ht="42" x14ac:dyDescent="0.35">
      <c r="A149" s="12" t="s">
        <v>135</v>
      </c>
      <c r="B149" s="12">
        <v>68064</v>
      </c>
      <c r="C149" s="12">
        <v>17.5</v>
      </c>
      <c r="D149" s="12">
        <v>27</v>
      </c>
      <c r="E149" s="12">
        <v>64.8</v>
      </c>
      <c r="F149" s="13" t="s">
        <v>162</v>
      </c>
      <c r="G149" s="8">
        <v>13</v>
      </c>
    </row>
    <row r="150" spans="1:7" ht="56" x14ac:dyDescent="0.35">
      <c r="A150" s="12" t="s">
        <v>135</v>
      </c>
      <c r="B150" s="12">
        <v>68099</v>
      </c>
      <c r="C150" s="12">
        <v>17.5</v>
      </c>
      <c r="D150" s="12">
        <v>27</v>
      </c>
      <c r="E150" s="12">
        <v>64.8</v>
      </c>
      <c r="F150" s="13" t="s">
        <v>163</v>
      </c>
      <c r="G150" s="8">
        <v>11</v>
      </c>
    </row>
    <row r="151" spans="1:7" ht="56" x14ac:dyDescent="0.35">
      <c r="A151" s="12" t="s">
        <v>135</v>
      </c>
      <c r="B151" s="12">
        <v>68113</v>
      </c>
      <c r="C151" s="12">
        <v>17.5</v>
      </c>
      <c r="D151" s="12">
        <v>27</v>
      </c>
      <c r="E151" s="12">
        <v>64.8</v>
      </c>
      <c r="F151" s="13" t="s">
        <v>164</v>
      </c>
      <c r="G151" s="8">
        <v>11.5</v>
      </c>
    </row>
    <row r="152" spans="1:7" ht="56" x14ac:dyDescent="0.35">
      <c r="A152" s="12" t="s">
        <v>135</v>
      </c>
      <c r="B152" s="12">
        <v>68132</v>
      </c>
      <c r="C152" s="12">
        <v>17.5</v>
      </c>
      <c r="D152" s="12">
        <v>27</v>
      </c>
      <c r="E152" s="12">
        <v>64.8</v>
      </c>
      <c r="F152" s="13" t="s">
        <v>165</v>
      </c>
      <c r="G152" s="8">
        <v>18</v>
      </c>
    </row>
    <row r="153" spans="1:7" ht="42" x14ac:dyDescent="0.35">
      <c r="A153" s="12" t="s">
        <v>135</v>
      </c>
      <c r="B153" s="12">
        <v>68084</v>
      </c>
      <c r="C153" s="12">
        <v>16.5</v>
      </c>
      <c r="D153" s="12">
        <v>27</v>
      </c>
      <c r="E153" s="12">
        <v>61.1</v>
      </c>
      <c r="F153" s="13" t="s">
        <v>166</v>
      </c>
      <c r="G153" s="8">
        <v>16</v>
      </c>
    </row>
    <row r="154" spans="1:7" ht="42" x14ac:dyDescent="0.35">
      <c r="A154" s="12" t="s">
        <v>135</v>
      </c>
      <c r="B154" s="12">
        <v>68085</v>
      </c>
      <c r="C154" s="12">
        <v>16.5</v>
      </c>
      <c r="D154" s="12">
        <v>27</v>
      </c>
      <c r="E154" s="12">
        <v>61.1</v>
      </c>
      <c r="F154" s="13" t="s">
        <v>167</v>
      </c>
      <c r="G154" s="8">
        <v>16</v>
      </c>
    </row>
    <row r="155" spans="1:7" ht="70" x14ac:dyDescent="0.35">
      <c r="A155" s="12" t="s">
        <v>135</v>
      </c>
      <c r="B155" s="12">
        <v>68111</v>
      </c>
      <c r="C155" s="12">
        <v>16.5</v>
      </c>
      <c r="D155" s="12">
        <v>27</v>
      </c>
      <c r="E155" s="12">
        <v>61.1</v>
      </c>
      <c r="F155" s="13" t="s">
        <v>168</v>
      </c>
      <c r="G155" s="8">
        <v>12</v>
      </c>
    </row>
    <row r="156" spans="1:7" ht="28" x14ac:dyDescent="0.35">
      <c r="A156" s="12" t="s">
        <v>135</v>
      </c>
      <c r="B156" s="12">
        <v>68075</v>
      </c>
      <c r="C156" s="12">
        <v>16</v>
      </c>
      <c r="D156" s="12">
        <v>27</v>
      </c>
      <c r="E156" s="12">
        <v>59.3</v>
      </c>
      <c r="F156" s="13" t="s">
        <v>169</v>
      </c>
      <c r="G156" s="8">
        <v>14</v>
      </c>
    </row>
    <row r="157" spans="1:7" ht="42" x14ac:dyDescent="0.35">
      <c r="A157" s="12" t="s">
        <v>135</v>
      </c>
      <c r="B157" s="12">
        <v>68153</v>
      </c>
      <c r="C157" s="12">
        <v>15.5</v>
      </c>
      <c r="D157" s="12">
        <v>27</v>
      </c>
      <c r="E157" s="12">
        <v>57.4</v>
      </c>
      <c r="F157" s="13" t="s">
        <v>170</v>
      </c>
      <c r="G157" s="8">
        <v>16</v>
      </c>
    </row>
    <row r="158" spans="1:7" ht="56" x14ac:dyDescent="0.35">
      <c r="A158" s="12" t="s">
        <v>135</v>
      </c>
      <c r="B158" s="12">
        <v>68059</v>
      </c>
      <c r="C158" s="12">
        <v>15</v>
      </c>
      <c r="D158" s="12">
        <v>27</v>
      </c>
      <c r="E158" s="12">
        <v>55.6</v>
      </c>
      <c r="F158" s="13" t="s">
        <v>171</v>
      </c>
      <c r="G158" s="8">
        <v>14</v>
      </c>
    </row>
    <row r="159" spans="1:7" ht="42" x14ac:dyDescent="0.35">
      <c r="A159" s="12" t="s">
        <v>135</v>
      </c>
      <c r="B159" s="12">
        <v>68128</v>
      </c>
      <c r="C159" s="12">
        <v>15</v>
      </c>
      <c r="D159" s="12">
        <v>27</v>
      </c>
      <c r="E159" s="12">
        <v>55.6</v>
      </c>
      <c r="F159" s="13" t="s">
        <v>172</v>
      </c>
      <c r="G159" s="8">
        <v>13</v>
      </c>
    </row>
    <row r="160" spans="1:7" ht="42" x14ac:dyDescent="0.35">
      <c r="A160" s="12" t="s">
        <v>135</v>
      </c>
      <c r="B160" s="12">
        <v>68160</v>
      </c>
      <c r="C160" s="12">
        <v>15</v>
      </c>
      <c r="D160" s="12">
        <v>27</v>
      </c>
      <c r="E160" s="12">
        <v>55.6</v>
      </c>
      <c r="F160" s="13" t="s">
        <v>173</v>
      </c>
      <c r="G160" s="8">
        <v>17</v>
      </c>
    </row>
    <row r="161" spans="1:7" ht="42" x14ac:dyDescent="0.35">
      <c r="A161" s="12" t="s">
        <v>135</v>
      </c>
      <c r="B161" s="12">
        <v>68156</v>
      </c>
      <c r="C161" s="12">
        <v>14</v>
      </c>
      <c r="D161" s="12">
        <v>27</v>
      </c>
      <c r="E161" s="12">
        <v>51.9</v>
      </c>
      <c r="F161" s="13" t="s">
        <v>174</v>
      </c>
      <c r="G161" s="8">
        <v>11</v>
      </c>
    </row>
    <row r="162" spans="1:7" ht="42" x14ac:dyDescent="0.35">
      <c r="A162" s="12" t="s">
        <v>135</v>
      </c>
      <c r="B162" s="12">
        <v>68125</v>
      </c>
      <c r="C162" s="12">
        <v>13.5</v>
      </c>
      <c r="D162" s="12">
        <v>27</v>
      </c>
      <c r="E162" s="12">
        <v>50</v>
      </c>
      <c r="F162" s="13" t="s">
        <v>175</v>
      </c>
      <c r="G162" s="8">
        <v>15.5</v>
      </c>
    </row>
    <row r="163" spans="1:7" ht="56" x14ac:dyDescent="0.35">
      <c r="A163" s="12" t="s">
        <v>135</v>
      </c>
      <c r="B163" s="12">
        <v>68116</v>
      </c>
      <c r="C163" s="12">
        <v>11.5</v>
      </c>
      <c r="D163" s="12">
        <v>27</v>
      </c>
      <c r="E163" s="12">
        <v>42.6</v>
      </c>
      <c r="F163" s="13" t="s">
        <v>176</v>
      </c>
      <c r="G163" s="8">
        <v>13</v>
      </c>
    </row>
    <row r="164" spans="1:7" ht="42" x14ac:dyDescent="0.35">
      <c r="A164" s="12" t="s">
        <v>135</v>
      </c>
      <c r="B164" s="12">
        <v>68148</v>
      </c>
      <c r="C164" s="12">
        <v>11.5</v>
      </c>
      <c r="D164" s="12">
        <v>27</v>
      </c>
      <c r="E164" s="12">
        <v>42.6</v>
      </c>
      <c r="F164" s="13" t="s">
        <v>177</v>
      </c>
      <c r="G164" s="8">
        <v>14</v>
      </c>
    </row>
    <row r="165" spans="1:7" ht="42" x14ac:dyDescent="0.35">
      <c r="A165" s="12" t="s">
        <v>135</v>
      </c>
      <c r="B165" s="12">
        <v>68118</v>
      </c>
      <c r="C165" s="12">
        <v>11</v>
      </c>
      <c r="D165" s="12">
        <v>27</v>
      </c>
      <c r="E165" s="12">
        <v>40.700000000000003</v>
      </c>
      <c r="F165" s="13" t="s">
        <v>178</v>
      </c>
      <c r="G165" s="8">
        <v>12</v>
      </c>
    </row>
  </sheetData>
  <autoFilter ref="A1:G165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F60E-2CD2-4008-A826-908C4A6CDE9E}">
  <dimension ref="A3:C8"/>
  <sheetViews>
    <sheetView workbookViewId="0">
      <selection activeCell="A9" sqref="A9"/>
    </sheetView>
  </sheetViews>
  <sheetFormatPr defaultRowHeight="14.5" x14ac:dyDescent="0.35"/>
  <cols>
    <col min="1" max="1" width="12.36328125" bestFit="1" customWidth="1"/>
    <col min="2" max="2" width="14.81640625" bestFit="1" customWidth="1"/>
    <col min="3" max="3" width="10.36328125" bestFit="1" customWidth="1"/>
  </cols>
  <sheetData>
    <row r="3" spans="1:3" x14ac:dyDescent="0.35">
      <c r="A3" s="4" t="s">
        <v>89</v>
      </c>
      <c r="B3" t="s">
        <v>91</v>
      </c>
      <c r="C3" s="9" t="s">
        <v>93</v>
      </c>
    </row>
    <row r="4" spans="1:3" x14ac:dyDescent="0.35">
      <c r="A4" s="5" t="s">
        <v>44</v>
      </c>
      <c r="B4" s="6">
        <v>48</v>
      </c>
      <c r="C4" s="10" cm="1">
        <f t="array" ref="C4">CORREL(
  _xlfn._xlws.FILTER('All Scores'!E$2:E$168,
         ('All Scores'!A$2:A$168=A4)*
         ISNUMBER('All Scores'!E$2:E$168)*
         ISNUMBER(IFERROR('All Scores'!G$2:G$168,""))*
         ('All Scores'!E$2:E$168&lt;&gt;0)*
         (IFERROR('All Scores'!G$2:G$168,0)&lt;&gt;0)
  ),
  _xlfn._xlws.FILTER(IFERROR('All Scores'!G2:G168,0),
         ('All Scores'!A2:A168=A4)*
         ISNUMBER('All Scores'!E2:E168)*
         ISNUMBER(IFERROR('All Scores'!G2:G168,""))*
         ('All Scores'!E2:E168&lt;&gt;0)*
         (IFERROR('All Scores'!G2:G168,0)&lt;&gt;0)
  )
)</f>
        <v>0.36422017988111294</v>
      </c>
    </row>
    <row r="5" spans="1:3" x14ac:dyDescent="0.35">
      <c r="A5" s="5" t="s">
        <v>6</v>
      </c>
      <c r="B5" s="6">
        <v>41</v>
      </c>
      <c r="C5" s="10" cm="1">
        <f t="array" ref="C5">CORREL(
  _xlfn._xlws.FILTER('All Scores'!E$2:E$168,
         ('All Scores'!A$2:A$168=A5)*
         ISNUMBER('All Scores'!E$2:E$168)*
         ISNUMBER(IFERROR('All Scores'!G$2:G$168,""))*
         ('All Scores'!E$2:E$168&lt;&gt;0)*
         (IFERROR('All Scores'!G$2:G$168,0)&lt;&gt;0)
  ),
  _xlfn._xlws.FILTER(IFERROR('All Scores'!G2:G169,0),
         ('All Scores'!A2:A169=A5)*
         ISNUMBER('All Scores'!E2:E169)*
         ISNUMBER(IFERROR('All Scores'!G2:G169,""))*
         ('All Scores'!E2:E169&lt;&gt;0)*
         (IFERROR('All Scores'!G2:G169,0)&lt;&gt;0)
  )
)</f>
        <v>0.21196098824098253</v>
      </c>
    </row>
    <row r="6" spans="1:3" x14ac:dyDescent="0.35">
      <c r="A6" s="5" t="s">
        <v>94</v>
      </c>
      <c r="B6" s="6">
        <v>44</v>
      </c>
      <c r="C6" s="10" cm="1">
        <f t="array" ref="C6">CORREL(
  _xlfn._xlws.FILTER('All Scores'!E$2:E$168,
         ('All Scores'!A$2:A$168=A6)*
         ISNUMBER('All Scores'!E$2:E$168)*
         ISNUMBER(IFERROR('All Scores'!G$2:G$168,""))*
         ('All Scores'!E$2:E$168&lt;&gt;0)*
         (IFERROR('All Scores'!G$2:G$168,0)&lt;&gt;0)
  ),
  _xlfn._xlws.FILTER(IFERROR('All Scores'!G3:G170,0),
         ('All Scores'!A3:A170=A6)*
         ISNUMBER('All Scores'!E3:E170)*
         ISNUMBER(IFERROR('All Scores'!G3:G170,""))*
         ('All Scores'!E3:E170&lt;&gt;0)*
         (IFERROR('All Scores'!G3:G170,0)&lt;&gt;0)
  )
)</f>
        <v>1.6374640099936132E-2</v>
      </c>
    </row>
    <row r="7" spans="1:3" x14ac:dyDescent="0.35">
      <c r="A7" s="5" t="s">
        <v>135</v>
      </c>
      <c r="B7" s="6">
        <v>46</v>
      </c>
      <c r="C7" s="10" cm="1">
        <f t="array" ref="C7">CORREL(
  _xlfn._xlws.FILTER('All Scores'!E$2:E$168,
         ('All Scores'!A$2:A$168=A7)*
         ISNUMBER('All Scores'!E$2:E$168)*
         ISNUMBER(IFERROR('All Scores'!G$2:G$168,""))*
         ('All Scores'!E$2:E$168&lt;&gt;0)*
         (IFERROR('All Scores'!G$2:G$168,0)&lt;&gt;0)
  ),
  _xlfn._xlws.FILTER(IFERROR('All Scores'!G4:G171,0),
         ('All Scores'!A4:A171=A7)*
         ISNUMBER('All Scores'!E4:E171)*
         ISNUMBER(IFERROR('All Scores'!G4:G171,""))*
         ('All Scores'!E4:E171&lt;&gt;0)*
         (IFERROR('All Scores'!G4:G171,0)&lt;&gt;0)
  )
)</f>
        <v>0.26340789479082588</v>
      </c>
    </row>
    <row r="8" spans="1:3" x14ac:dyDescent="0.35">
      <c r="A8" s="5" t="s">
        <v>90</v>
      </c>
      <c r="B8" s="6">
        <v>179</v>
      </c>
      <c r="C8" s="11" cm="1">
        <f t="array" ref="C8">CORREL(
  _xlfn._xlws.FILTER('All Scores'!E$2:E$168,
         ISNUMBER('All Scores'!E$2:E$168)*
         ISNUMBER(IFERROR('All Scores'!G$2:G$168,""))*
         ('All Scores'!E$2:E$168&lt;&gt;0)*
         (IFERROR('All Scores'!G$2:G$168,0)&lt;&gt;0)
  ),
  _xlfn._xlws.FILTER(IFERROR('All Scores'!G$2:G$168,0),
         ISNUMBER('All Scores'!E$2:E$168)*
         ISNUMBER(IFERROR('All Scores'!G$2:G$168,""))*
         ('All Scores'!E$2:E$168&lt;&gt;0)*
         (IFERROR('All Scores'!G$2:G$168,0)&lt;&gt;0)
  )
)</f>
        <v>0.25011728615187334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Scores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2026-03-29T03:07:16Z</dcterms:created>
  <dcterms:modified xsi:type="dcterms:W3CDTF">2026-03-29T03:07:27Z</dcterms:modified>
</cp:coreProperties>
</file>