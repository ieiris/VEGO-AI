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xr:revisionPtr revIDLastSave="0" documentId="13_ncr:1_{2CF1E9E7-866E-4A76-B04F-AED623DE71A5}" xr6:coauthVersionLast="47" xr6:coauthVersionMax="47" xr10:uidLastSave="{00000000-0000-0000-0000-000000000000}"/>
  <bookViews>
    <workbookView xWindow="-110" yWindow="-110" windowWidth="19420" windowHeight="11500" xr2:uid="{00000000-000D-0000-FFFF-FFFF00000000}"/>
  </bookViews>
  <sheets>
    <sheet name="Guideline Clust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60" i="1" l="1"/>
  <c r="P59" i="1"/>
  <c r="R59" i="1" s="1"/>
  <c r="P58" i="1"/>
  <c r="P61" i="1" l="1"/>
  <c r="R58" i="1"/>
  <c r="R61" i="1" s="1"/>
</calcChain>
</file>

<file path=xl/sharedStrings.xml><?xml version="1.0" encoding="utf-8"?>
<sst xmlns="http://schemas.openxmlformats.org/spreadsheetml/2006/main" count="896" uniqueCount="415">
  <si>
    <t>#</t>
  </si>
  <si>
    <t>Cluster Name</t>
  </si>
  <si>
    <t>Base Element</t>
  </si>
  <si>
    <t>Run 1
ID</t>
  </si>
  <si>
    <t>Run 1
Guideline Name</t>
  </si>
  <si>
    <t>Run 1
Description</t>
  </si>
  <si>
    <t>Run 1
Citation</t>
  </si>
  <si>
    <t>Run 2
ID</t>
  </si>
  <si>
    <t>Run 2
Guideline Name</t>
  </si>
  <si>
    <t>Run 2
Description</t>
  </si>
  <si>
    <t>Run 2
Citation</t>
  </si>
  <si>
    <t>Run 3
ID</t>
  </si>
  <si>
    <t>Run 3
Guideline Name</t>
  </si>
  <si>
    <t>Run 3
Description</t>
  </si>
  <si>
    <t>Run 3
Citation</t>
  </si>
  <si>
    <t>ParkWise System Overview</t>
  </si>
  <si>
    <t>null</t>
  </si>
  <si>
    <t>G1</t>
  </si>
  <si>
    <t>ParkWise Overview</t>
  </si>
  <si>
    <t>Defines the scope of the ParkWise domain about owning multiple parking lots and offering services.</t>
  </si>
  <si>
    <t>The ParkWise company owns various parking lots throughout the country and provides parking services.</t>
  </si>
  <si>
    <t>Parking Lot Class and Attributes</t>
  </si>
  <si>
    <t>C: Parking Lot</t>
  </si>
  <si>
    <t>Parking lot class attributes</t>
  </si>
  <si>
    <t>Defines a class for parking lot with unique number, name, address, and city as attributes.</t>
  </si>
  <si>
    <t>For each parking lot, the system will store a unique number, name, address, and city.</t>
  </si>
  <si>
    <t>Parking Lot Class</t>
  </si>
  <si>
    <t>Represents a parking lot with attributes such as unique number, name, address, and city.</t>
  </si>
  <si>
    <t>G2</t>
  </si>
  <si>
    <t>Parking Lot Information</t>
  </si>
  <si>
    <t>Describes the attributes of each parking lot stored in the system.</t>
  </si>
  <si>
    <t>Administrator Updates Parking Lot Details</t>
  </si>
  <si>
    <t>Administrator-Update-Details Association</t>
  </si>
  <si>
    <t>Association between Administrator and Parking Lot for updating details.</t>
  </si>
  <si>
    <t>An administrator will be responsible for updating these details in the system.</t>
  </si>
  <si>
    <t>G3</t>
  </si>
  <si>
    <t>Administrator Role</t>
  </si>
  <si>
    <t>Indicates the responsibility of the administrator over the data update process in the system.</t>
  </si>
  <si>
    <t>Available Spaces in Parking Lot</t>
  </si>
  <si>
    <t>Attr: Available Spaces of Parking Lot</t>
  </si>
  <si>
    <t>Available spaces attribute in Parking lot</t>
  </si>
  <si>
    <t>Specifies that the parking lot class includes an attribute for the number of available spaces.</t>
  </si>
  <si>
    <t>The system will hold the number of available spaces in each parking lot (0 if full).</t>
  </si>
  <si>
    <t>Parking Lot Spaces Attribute</t>
  </si>
  <si>
    <t>Holds the number of available spaces in each parking lot.</t>
  </si>
  <si>
    <t>G4</t>
  </si>
  <si>
    <t>Availability Monitoring</t>
  </si>
  <si>
    <t>Monitors the number of available spaces in each parking lot.</t>
  </si>
  <si>
    <t>Parking Lot Composition of Spaces</t>
  </si>
  <si>
    <t>Comp: Parking Lot-Space</t>
  </si>
  <si>
    <t>Gate Sensor at Parking Entrance</t>
  </si>
  <si>
    <t>Gate Sensor Association</t>
  </si>
  <si>
    <t>Gate sensor association for arrival, departure data collection.</t>
  </si>
  <si>
    <t>A gate sensor (GS) will be installed at the entrance of each parking lot, identifying the arrival and departure of vehicles and sending the data to the system in real-time.</t>
  </si>
  <si>
    <t>G5</t>
  </si>
  <si>
    <t>Gate Sensor Functionality</t>
  </si>
  <si>
    <t>Explains the role of the gate sensor in ParkingWise system.</t>
  </si>
  <si>
    <t>Vehicle Arrival Data Retrieval</t>
  </si>
  <si>
    <t>System retrieves data of arriving vehicles for processing.</t>
  </si>
  <si>
    <t>When a vehicle arrives, the system will get its data (from the gate sensor) and search the database for the corresponding vehicle number.</t>
  </si>
  <si>
    <t>G6</t>
  </si>
  <si>
    <t>Vehicle Arrival Process</t>
  </si>
  <si>
    <t>Details the process when a vehicle arrives in the parking lot.</t>
  </si>
  <si>
    <t>Barrier Opens for Known Vehicles</t>
  </si>
  <si>
    <t>Gate Sensor Instruction</t>
  </si>
  <si>
    <t>Instruct gate sensor to open if vehicle is verified.</t>
  </si>
  <si>
    <t>If the vehicle is found, the system will instruct the gate sensor to open the barrier.</t>
  </si>
  <si>
    <t>G7</t>
  </si>
  <si>
    <t>Barrier Control Upon Vehicle Detection</t>
  </si>
  <si>
    <t>Describes the system’s instructions to the gate sensor for barrier operation.</t>
  </si>
  <si>
    <t>Barrier Instructions for Unverified Vehicles</t>
  </si>
  <si>
    <t>Barrier Instruction for Unverified Vehicles</t>
  </si>
  <si>
    <t>Instructions for the client if the barrier does not open automatically.</t>
  </si>
  <si>
    <t>If the barrier does not open, the client will have to follow the instructions displayed at the parking lot entrance.</t>
  </si>
  <si>
    <t>G8</t>
  </si>
  <si>
    <t>Parking Entrance Instructions</t>
  </si>
  <si>
    <t>Instructs clients on actions if the barrier does not open.</t>
  </si>
  <si>
    <t>Client Detail Collection</t>
  </si>
  <si>
    <t>C: Client</t>
  </si>
  <si>
    <t>Guidance for clients to enter required personal and vehicle details.</t>
  </si>
  <si>
    <t>These instructions guide the client to access the system and provide the required details, including first name, last name, mobile phone number, and three photos of the vehicle (front, rear, and side views).</t>
  </si>
  <si>
    <t>G9</t>
  </si>
  <si>
    <t>Outlines the details required from the client for accessing the system.</t>
  </si>
  <si>
    <t>Vehicle Details Extraction from Photos</t>
  </si>
  <si>
    <t>Attr: Photos of Vehicle</t>
  </si>
  <si>
    <t>Vehicle Detail Extraction</t>
  </si>
  <si>
    <t>System extracts vehicle details from uploaded photos.</t>
  </si>
  <si>
    <t>Based on the uploaded photos, the system automatically extracts the vehicle’s details: number, type (as text), color, size (small, medium, or large), and weight (in kg).</t>
  </si>
  <si>
    <t>G10</t>
  </si>
  <si>
    <t>Vehicle Details Extraction</t>
  </si>
  <si>
    <t>Processes the photos uploaded by the client to extract vehicle details.</t>
  </si>
  <si>
    <t>Vehicle Color Classification</t>
  </si>
  <si>
    <t>E: Color</t>
  </si>
  <si>
    <t>Photo-to-Text Module Operation</t>
  </si>
  <si>
    <t>Distinguishes vehicle colors into predefined categories.</t>
  </si>
  <si>
    <t>The extraction photo-to-text module distinguishes among four predefined colors – white, black, silver, and blue – while all other colors are categorized as other.</t>
  </si>
  <si>
    <t>G11</t>
  </si>
  <si>
    <t>Color Classification</t>
  </si>
  <si>
    <t>Defines the color classification extracted from vehicle photos.</t>
  </si>
  <si>
    <t>Vehicle Class</t>
  </si>
  <si>
    <t>C: Vehicle</t>
  </si>
  <si>
    <t>Client-Vehicle Association</t>
  </si>
  <si>
    <t>A (1:m): Client-Vehicle</t>
  </si>
  <si>
    <t>Vehicle-Client Association</t>
  </si>
  <si>
    <t>There is an association ensuring that each vehicle is linked to exactly one client.</t>
  </si>
  <si>
    <t>If the vehicle or the client is found in the database, the system will update the associations to ensure that each vehicle will be associated with exactly one client.</t>
  </si>
  <si>
    <t>Vehicle-Client Association Update</t>
  </si>
  <si>
    <t>Updates database to ensure each vehicle is associated with one client.</t>
  </si>
  <si>
    <t>If either the vehicle or the client is found in the database, the system will update the associations to ensure that each vehicle will be associated with exactly one client.</t>
  </si>
  <si>
    <t>G12</t>
  </si>
  <si>
    <t>Ensures each vehicle is associated with exactly one client in the database.</t>
  </si>
  <si>
    <t>Barrier Opens After Association Update</t>
  </si>
  <si>
    <t>Barrier Open Instruction Post-Update</t>
  </si>
  <si>
    <t>Instructs gate sensor to open after updates.</t>
  </si>
  <si>
    <t>At the end of these updates, the system will instruct the gate sensor to open the barrier.</t>
  </si>
  <si>
    <t>G13</t>
  </si>
  <si>
    <t>Barrier Opening Instruction</t>
  </si>
  <si>
    <t>Indicates when the barrier should be opened by the system.</t>
  </si>
  <si>
    <t>Parking Session Information</t>
  </si>
  <si>
    <t>C: Parking Session</t>
  </si>
  <si>
    <t>Attributes related to a parking session, such as start time, and vehicle details.</t>
  </si>
  <si>
    <t>After passing the barrier, the system will store the parking session information, including start time and vehicle details.</t>
  </si>
  <si>
    <t>Parking Session Data Logging</t>
  </si>
  <si>
    <t>Logs the start time and details of the parking session.</t>
  </si>
  <si>
    <t>G14</t>
  </si>
  <si>
    <t>Captures parking session details post the vehicle passing the barrier.</t>
  </si>
  <si>
    <t>Parking Session - Vehicle Association</t>
  </si>
  <si>
    <t>A: Parking Session-Vehicle</t>
  </si>
  <si>
    <t>Client Drives Vehicle to Conveyor</t>
  </si>
  <si>
    <t>Vehicle Delivery to Conveyor</t>
  </si>
  <si>
    <t>Instructions for the client when leaving vehicle in parking.</t>
  </si>
  <si>
    <t>The client will drive the vehicle to a vacant conveyor, leave the vehicle in parking, take the key, and lock the vehicle.</t>
  </si>
  <si>
    <t>G15</t>
  </si>
  <si>
    <t>Client Vehicle Handling</t>
  </si>
  <si>
    <t>Describes the client’s actions after passing the parking barrier.</t>
  </si>
  <si>
    <t>Location Representation of Spaces and Conveyors</t>
  </si>
  <si>
    <t>C: Location</t>
  </si>
  <si>
    <t>G16</t>
  </si>
  <si>
    <t>Representation of locations using coordinates and floor number.</t>
  </si>
  <si>
    <t>The locations of both parking spaces and conveyors are represented by their floor number and their position on that floor as (x,y) coordinate.</t>
  </si>
  <si>
    <t>G17</t>
  </si>
  <si>
    <t>Location Representation</t>
  </si>
  <si>
    <t>Representation of the locations of parking spaces and conveyors.</t>
  </si>
  <si>
    <t>Inheritance: Location - Space</t>
  </si>
  <si>
    <t>I: Location-Space</t>
  </si>
  <si>
    <t>Inheritance: Location - Conveyor</t>
  </si>
  <si>
    <t>I: Location-Conveyor</t>
  </si>
  <si>
    <t>Parking Space Size Attribute</t>
  </si>
  <si>
    <t>E: Size</t>
  </si>
  <si>
    <t>Parking space size attribute</t>
  </si>
  <si>
    <t>Defines parking space size as an attribute indicating suitability for vehicle accommodation.</t>
  </si>
  <si>
    <t>Each parking space also has its size (small, medium, or large) to indicate which vehicles it can accommodate.</t>
  </si>
  <si>
    <t>Parking Space Size Definition</t>
  </si>
  <si>
    <t>Defines parking space size categories for vehicle accommodation.</t>
  </si>
  <si>
    <t>G18</t>
  </si>
  <si>
    <t>Parking Space Attributes</t>
  </si>
  <si>
    <t>Identifies parking space attributes to accommodate vehicle sizes.</t>
  </si>
  <si>
    <t>Space Class</t>
  </si>
  <si>
    <t>C: Space</t>
  </si>
  <si>
    <t>Conveyor Assignment and Optimization</t>
  </si>
  <si>
    <t>C: Conveyor</t>
  </si>
  <si>
    <t>Conveyors’ Controller assigns conveyor and requests parking space optimization.</t>
  </si>
  <si>
    <t>The Conveyors’ Controller (CC) will scan the vehicle number, assign a conveyor and ask the system to run an optimization algorithm to find the nearest vacant space to the conveyor location.</t>
  </si>
  <si>
    <t>Conveyor Assignment</t>
  </si>
  <si>
    <t>Actions taken by the conveyors' controller to assign a conveyor.</t>
  </si>
  <si>
    <t>Conveyor Weight Capacity</t>
  </si>
  <si>
    <t>Conveyor capacity attribute</t>
  </si>
  <si>
    <t>Defines a weight capacity attribute for conveyors to manage vehicle transport.</t>
  </si>
  <si>
    <t>Each conveyor has a maximum vehicle weight it can transport.</t>
  </si>
  <si>
    <t>Defines weight capacity of conveyors for vehicle transport.</t>
  </si>
  <si>
    <t>G19</t>
  </si>
  <si>
    <t>Each conveyor's capability to transport vehicles by weight.</t>
  </si>
  <si>
    <t>Optimization Algorithm Considerations</t>
  </si>
  <si>
    <t>Considerations in Optimization Algorithm</t>
  </si>
  <si>
    <t>Optimization algorithm considers parking-space size and conveyor weight capacity.</t>
  </si>
  <si>
    <t>Both the parking-space size and the conveyor’s weight capacity will be considered by the optimization algorithm.</t>
  </si>
  <si>
    <t>G20</t>
  </si>
  <si>
    <t>Optimization Considerations</t>
  </si>
  <si>
    <t>Factors considered in the optimization algorithm for parking.</t>
  </si>
  <si>
    <t>Conveyor Update on Parking Completion</t>
  </si>
  <si>
    <t>Parking Completion and Conveyor Update</t>
  </si>
  <si>
    <t>Updates system on parking completion and final correct conveyor location.</t>
  </si>
  <si>
    <t>After moving the vehicle to the designated parking space, the conveyors’ controller will update the system on parking completion and the final location of the operating conveyor.</t>
  </si>
  <si>
    <t>G21</t>
  </si>
  <si>
    <t>Conveyor Update On Parking Completion</t>
  </si>
  <si>
    <t>System update process post vehicle movement completion.</t>
  </si>
  <si>
    <t>Vehicle Location Tracking (Space or Conveyor)</t>
  </si>
  <si>
    <t>Vehicle Location Information in System</t>
  </si>
  <si>
    <t>System tracks vehicle location within parking lot.</t>
  </si>
  <si>
    <t>The system will know at each moment where each vehicle is – on which conveyor or in which parking space.</t>
  </si>
  <si>
    <t>G22</t>
  </si>
  <si>
    <t>Vehicle Location Tracking</t>
  </si>
  <si>
    <t>Real-time tracking of vehicle locations in the system.</t>
  </si>
  <si>
    <t>Conveyors Handling Vehicles During Session</t>
  </si>
  <si>
    <t>A (m:2): Parking Session-Conveyor</t>
  </si>
  <si>
    <t>Conveyors handling vehicles</t>
  </si>
  <si>
    <t>At the end of a parking session, tracking conveyors for vehicles is unnecessary.</t>
  </si>
  <si>
    <t>Only at the end of the parking session, there is no need to store the conveyors that handle each vehicle.</t>
  </si>
  <si>
    <t>G24</t>
  </si>
  <si>
    <t>Storage of Conveyor Data During Parking</t>
  </si>
  <si>
    <t>Conveyor data storage is not necessary post-parking session.</t>
  </si>
  <si>
    <t>Only at the end of the parking session, there is no need to store the conveyors that handle each vehicle (as long as the vehicle is in the lot, this information is important in case of problems).</t>
  </si>
  <si>
    <t>G25</t>
  </si>
  <si>
    <t>Conveyor Handling Data Retention</t>
  </si>
  <si>
    <t>Details retention specific to conveyor handling after parking session ends.</t>
  </si>
  <si>
    <t>Vehicle Transfer to Gate by Conveyor</t>
  </si>
  <si>
    <t>G26</t>
  </si>
  <si>
    <t>Conveyor use in transferring vehicle to gate post parking.</t>
  </si>
  <si>
    <t>Upon requesting to end parking, a vacant conveyor (assigned by the conveyors’ controller) transfers the vehicle to the parking lot gate.</t>
  </si>
  <si>
    <t>G27</t>
  </si>
  <si>
    <t>Vehicle Transfer for End Parking</t>
  </si>
  <si>
    <t>Process of transferring the vehicle to the gate upon ending parking.</t>
  </si>
  <si>
    <t>SMS Notification to Client</t>
  </si>
  <si>
    <t>System sends SMS parking details to client.</t>
  </si>
  <si>
    <t>An SMS message with the parking details will be sent to the client's phone.</t>
  </si>
  <si>
    <t>G23</t>
  </si>
  <si>
    <t>SMS Notification</t>
  </si>
  <si>
    <t>Sends parking details via SMS message to clients.</t>
  </si>
  <si>
    <t>Parking Data Availability via System UI</t>
  </si>
  <si>
    <t>UI Data Availability</t>
  </si>
  <si>
    <t>Client can access parking data via system UI.</t>
  </si>
  <si>
    <t>This data is also available through the system UI, if the client enters his or her phone number.</t>
  </si>
  <si>
    <t>System UI Data Availability</t>
  </si>
  <si>
    <t>Parking data available through the system UI upon client input.</t>
  </si>
  <si>
    <t>End Parking Request via UI</t>
  </si>
  <si>
    <t>End Parking Request by Client</t>
  </si>
  <si>
    <t>Instructions on client interaction to request end parking via UI.</t>
  </si>
  <si>
    <t>For getting the vehicle back, the client types in the system UI the vehicle number, his or her phone number (for validation), and clicks "end parking".</t>
  </si>
  <si>
    <t>Vehicle Retrieval Process</t>
  </si>
  <si>
    <t>Client actions in the system UI for retrieving vehicle.</t>
  </si>
  <si>
    <t>Payment Request via System UI</t>
  </si>
  <si>
    <t>Payment Request through UI</t>
  </si>
  <si>
    <t>Client instructed to make payment via the system UI.</t>
  </si>
  <si>
    <t>The client will be requested to pay via the system UI.</t>
  </si>
  <si>
    <t>G28</t>
  </si>
  <si>
    <t>Payment Request</t>
  </si>
  <si>
    <t>Client is prompted to pay through the system UI.</t>
  </si>
  <si>
    <t>Payment Calculation Using IRS Price Lists</t>
  </si>
  <si>
    <t>C: Price List</t>
  </si>
  <si>
    <t>Price List Calculation for Payment</t>
  </si>
  <si>
    <t>System calculates payment using IRS provided price lists.</t>
  </si>
  <si>
    <t>The payment amount will be calculated based on fixed price lists, sent yearly by the Integrated Rate Service (IRS) in a JSON format.</t>
  </si>
  <si>
    <t>G29</t>
  </si>
  <si>
    <t>Payment Calculation Basis</t>
  </si>
  <si>
    <t>Details on how payment is calculated using IRS price lists.</t>
  </si>
  <si>
    <t>Price List Adopted per Parking Lot</t>
  </si>
  <si>
    <t>A: Parking Lot-Price List</t>
  </si>
  <si>
    <t>Price list per parking lot</t>
  </si>
  <si>
    <t>Each parking lot can have different pricing that includes prices for different durations.</t>
  </si>
  <si>
    <t>Each parking lot can adopt a different price list, which includes the price for the first hour, the price for each additional hour, and the price for a full day.</t>
  </si>
  <si>
    <t>Price List Adoption by Parking Lots</t>
  </si>
  <si>
    <t>Different parking lots can adopt different price lists.</t>
  </si>
  <si>
    <t>G30</t>
  </si>
  <si>
    <t>Adoption of Price Lists</t>
  </si>
  <si>
    <t>Each parking lot has the option to adopt different price lists.</t>
  </si>
  <si>
    <t>Maintaining Price History</t>
  </si>
  <si>
    <t>System maintains the price history for audit purposes.</t>
  </si>
  <si>
    <t>The system will maintain price history for each parking lot.</t>
  </si>
  <si>
    <t>G31</t>
  </si>
  <si>
    <t>Price History Maintenance</t>
  </si>
  <si>
    <t>Keeps track of the price history for each parking lot.</t>
  </si>
  <si>
    <t>External Payment Gateway Handling</t>
  </si>
  <si>
    <t>Payment Processing through Payment Gateway</t>
  </si>
  <si>
    <t>Payment request is made to the external Payment Gateway.</t>
  </si>
  <si>
    <t>Payment is handled outside the system: the system will send a request to the external Payment Gateway (PG) with the client details and the payment amount.</t>
  </si>
  <si>
    <t>G32</t>
  </si>
  <si>
    <t>External Payment Handling</t>
  </si>
  <si>
    <t>Process of sending payment requests to external Gateway.</t>
  </si>
  <si>
    <t>Payment is handled outside the system: the system will send a request to the external Payment Gateway (PG) with the client details and the payment amount;</t>
  </si>
  <si>
    <t>Gate Opens After Payment Approval</t>
  </si>
  <si>
    <t>Gate Sensor Notification after Payment</t>
  </si>
  <si>
    <t>Notifies system on payment success to open the gate.</t>
  </si>
  <si>
    <t>Once the payment is approved, the payment gateway will notify the system, which will instruct the gate sensor to open the gate.</t>
  </si>
  <si>
    <t>G33</t>
  </si>
  <si>
    <t>Payment Confirmation and Barrier Control</t>
  </si>
  <si>
    <t>After payment approval, instructions for gate sensor operation.</t>
  </si>
  <si>
    <t>Receipt Issuance</t>
  </si>
  <si>
    <t>Receipt Issuing Process</t>
  </si>
  <si>
    <t>System issues a receipt on client’s request after successful payment.</t>
  </si>
  <si>
    <t>The system will further issue a receipt at the client’s request.</t>
  </si>
  <si>
    <t>G34</t>
  </si>
  <si>
    <t>Process of issuing receipts upon client request.</t>
  </si>
  <si>
    <t>Receipt Details</t>
  </si>
  <si>
    <t>Details Provided on Receipt</t>
  </si>
  <si>
    <t>Receipt shows detailed parking and payment information.</t>
  </si>
  <si>
    <t>The receipt will show the client, vehicle, and parking details, the overall number of hours, the price rate (according to the parking duration), and the final amount.</t>
  </si>
  <si>
    <t>G35</t>
  </si>
  <si>
    <t>Receipt content detailing charges and parking information.</t>
  </si>
  <si>
    <t>Client Club Management</t>
  </si>
  <si>
    <t>AC: Client-Parking Lot</t>
  </si>
  <si>
    <t>Client Club</t>
  </si>
  <si>
    <t>Defines a class for the client club managing membership.</t>
  </si>
  <si>
    <t>ParkWise also manages a client’s club.</t>
  </si>
  <si>
    <t>Manages a client’s club for providing discounts.</t>
  </si>
  <si>
    <t>G36</t>
  </si>
  <si>
    <t>ParkWise’s management of a client's club.</t>
  </si>
  <si>
    <t>Club Membership Discount</t>
  </si>
  <si>
    <t>Discount for club members</t>
  </si>
  <si>
    <t>Club members receive a fixed discount for parking sessions.</t>
  </si>
  <si>
    <t>Club members will get an automatic, fixed discount for all parking sessions.</t>
  </si>
  <si>
    <t>Club Membership Discounts</t>
  </si>
  <si>
    <t>Club members receive automatic fixed discounts on parking.</t>
  </si>
  <si>
    <t>G37</t>
  </si>
  <si>
    <t>Club Discount Application</t>
  </si>
  <si>
    <t>Automatic discounts for club members during parking sessions.</t>
  </si>
  <si>
    <t>Club Registration Process</t>
  </si>
  <si>
    <t>Club Membership Registration</t>
  </si>
  <si>
    <t>System UI supports client registration to club.</t>
  </si>
  <si>
    <t>Clients can register to the club through the system UI at any point of time.</t>
  </si>
  <si>
    <t>G38</t>
  </si>
  <si>
    <t>Club Registration Procedure</t>
  </si>
  <si>
    <t>Registration process for joining the club.</t>
  </si>
  <si>
    <t>Club Membership Tenure (Free and Lifetime)</t>
  </si>
  <si>
    <t>Club Membership Tenure</t>
  </si>
  <si>
    <t>Details about the free lifetime maintenance of club membership.</t>
  </si>
  <si>
    <t>Membership is free and remains active for life.</t>
  </si>
  <si>
    <t>G39</t>
  </si>
  <si>
    <t>Membership Characteristics</t>
  </si>
  <si>
    <t>Attributes of the club membership.</t>
  </si>
  <si>
    <t>Preferred Parking Lot Selection</t>
  </si>
  <si>
    <t>Allows clients to select preferred parking lots for audit records.</t>
  </si>
  <si>
    <t>During registration, and at any time afterwards, the client can select preferred parking lots (the selection dates are stored for audit purposes).</t>
  </si>
  <si>
    <t>G40</t>
  </si>
  <si>
    <t>Selection of preferred parking lots by club members.</t>
  </si>
  <si>
    <t>Free First Parking Session for New Members</t>
  </si>
  <si>
    <t>Free parking for new club members</t>
  </si>
  <si>
    <t>The first parking session for a club member in the registration month is free.</t>
  </si>
  <si>
    <t>The member’s first parking session in the registration month, in any of the selected parking lots, is free.</t>
  </si>
  <si>
    <t>Free Session in Registration Month</t>
  </si>
  <si>
    <t>Member’s first session in selected lots during registration month is free.</t>
  </si>
  <si>
    <t>G41</t>
  </si>
  <si>
    <t>First Parking Session Benefit</t>
  </si>
  <si>
    <t>Details on the free first session for club members.</t>
  </si>
  <si>
    <t>Administrator Report Generation</t>
  </si>
  <si>
    <t>Administrator support for generating reports.</t>
  </si>
  <si>
    <t>The administrator should be able to generate the following reports:</t>
  </si>
  <si>
    <t>G42</t>
  </si>
  <si>
    <t>Report Generation Responsibility</t>
  </si>
  <si>
    <t>Administrator’s responsibility for generating specific reports.</t>
  </si>
  <si>
    <t>Annual Summary Report Overview</t>
  </si>
  <si>
    <t>Details the structure of annual summary report for ParkWise incomes.</t>
  </si>
  <si>
    <t>The administrator should be able to generate the following reports: Annual Summary Report – a yearly overview of all incomes of ParkWise.</t>
  </si>
  <si>
    <t>Provides an overview of the annual income across ParkWise lots.</t>
  </si>
  <si>
    <t>Annual Summary Report – a yearly overview of all incomes of ParkWise.</t>
  </si>
  <si>
    <t>G43</t>
  </si>
  <si>
    <t>Annual Summary Report</t>
  </si>
  <si>
    <t>Yearly overview report of ParkWise incomes.</t>
  </si>
  <si>
    <t>Annual Summary Report Contents</t>
  </si>
  <si>
    <t>Contents of the Annual Summary Report</t>
  </si>
  <si>
    <t>The report covers parking lot details, payments, and specific vehicle color counts.</t>
  </si>
  <si>
    <t>The report will include a list of all parking lots, the total amount paid (per lot), and the number of vehicles in “other” colors which parked in the lot, in a given year.</t>
  </si>
  <si>
    <t>Annual Report Details</t>
  </si>
  <si>
    <t>Details covered in annual report including lot details and vehicle colors.</t>
  </si>
  <si>
    <t>G44</t>
  </si>
  <si>
    <t>Report Content Specification</t>
  </si>
  <si>
    <t>Details included in the annual summary report.</t>
  </si>
  <si>
    <t>Annual Summary Report Ordering</t>
  </si>
  <si>
    <t>Ordering Annual Summary Report</t>
  </si>
  <si>
    <t>Report ordered by the city and total amount received.</t>
  </si>
  <si>
    <t>The report will be ordered by parking lot’s city (descending order) and total amounts (ascending order).</t>
  </si>
  <si>
    <t>Annual Report Order</t>
  </si>
  <si>
    <t>Ordering preferences for annual summary report listings.</t>
  </si>
  <si>
    <t>G45</t>
  </si>
  <si>
    <t>Report Ordering Preference</t>
  </si>
  <si>
    <t>Sorting order for the annual summary report.</t>
  </si>
  <si>
    <t>Annual Summary Report Format</t>
  </si>
  <si>
    <t>Format for the Annual Summary Report</t>
  </si>
  <si>
    <t>Generated formats for the report include PDF and XML.</t>
  </si>
  <si>
    <t>The report will be generated in both PDF and XML formats.</t>
  </si>
  <si>
    <t>Annual Report Format</t>
  </si>
  <si>
    <t>Format output specifications for the annual summary report.</t>
  </si>
  <si>
    <t>G46</t>
  </si>
  <si>
    <t>Report Format</t>
  </si>
  <si>
    <t>Formats in which reports are generated.</t>
  </si>
  <si>
    <t>Customer Club Growth Report Overview</t>
  </si>
  <si>
    <t>The report provides a monthly growth overview of club members.</t>
  </si>
  <si>
    <t>Customer Club Growth Report – a monthly overview of new and total club members.</t>
  </si>
  <si>
    <t>Monthly overview of new and total club members.</t>
  </si>
  <si>
    <t>G47</t>
  </si>
  <si>
    <t>Customer Club Growth Report</t>
  </si>
  <si>
    <t>Monthly overview report on club members.</t>
  </si>
  <si>
    <t>Customer Club Growth Report Contents</t>
  </si>
  <si>
    <t>Contents of the Customer Club Growth Report</t>
  </si>
  <si>
    <t>Covers monthly new members, cumulative totals, and growth rates.</t>
  </si>
  <si>
    <t>The report includes, for each month in the current year, the number of customers who joined the club in that month, the cumulative total of active members by the end of the month, and the percentage of total growth compared to the previous month.</t>
  </si>
  <si>
    <t>Customer Club Growth Report Details</t>
  </si>
  <si>
    <t>Details in report including monthly new joiners and cumulative members.</t>
  </si>
  <si>
    <t>G48</t>
  </si>
  <si>
    <t>Club Member Growth Details</t>
  </si>
  <si>
    <t>Details included in the club growth report.</t>
  </si>
  <si>
    <t>Customer Club Growth Report Ordering</t>
  </si>
  <si>
    <t>Ordering Customer Club Growth Report</t>
  </si>
  <si>
    <t>Report ordered by month in ascending sequence.</t>
  </si>
  <si>
    <t>The report will be ordered by month in ascending order.</t>
  </si>
  <si>
    <t>Customer Report Order</t>
  </si>
  <si>
    <t>Ordering preferences for customer club growth report.</t>
  </si>
  <si>
    <t>G49</t>
  </si>
  <si>
    <t>Report Sorting Order</t>
  </si>
  <si>
    <t>Sorting order for the monthly club growth report.</t>
  </si>
  <si>
    <t>WRONG</t>
  </si>
  <si>
    <t>Partially</t>
  </si>
  <si>
    <t>may be an operation</t>
  </si>
  <si>
    <t>Full</t>
  </si>
  <si>
    <t>System Class</t>
  </si>
  <si>
    <t>A major class</t>
  </si>
  <si>
    <t>adminstrator is an actor</t>
  </si>
  <si>
    <t>explicit requirements</t>
  </si>
  <si>
    <t>gate sensor is an actor</t>
  </si>
  <si>
    <t>part of the client-vehicle details</t>
  </si>
  <si>
    <t>not related to the class diagram</t>
  </si>
  <si>
    <t>can be implied</t>
  </si>
  <si>
    <t>can record ther payement and at least the payement account</t>
  </si>
  <si>
    <t>Payment can be considered as a class</t>
  </si>
  <si>
    <t>Status</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</si>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</sst>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FFFFFF"/>
      <name val="Arial"/>
    </font>
    <font>
      <b/>
      <sz val="10"/>
      <color rgb="FF222222"/>
      <name val="Arial"/>
    </font>
    <font>
      <i/>
      <sz val="10"/>
      <color rgb="FFAAAAAA"/>
      <name val="Arial"/>
    </font>
    <font>
      <sz val="10"/>
      <color rgb="FF222222"/>
      <name val="Arial"/>
    </font>
    <font>
      <sz val="10"/>
      <color rgb="FF222222"/>
      <name val="Arial"/>
      <family val="2"/>
    </font>
    <font>
      <sz val="11"/>
      <color rgb="FF9C0006"/>
      <name val="Calibri"/>
      <family val="2"/>
      <scheme val="minor"/>
    </font>
    <font>
      <i/>
      <sz val="10"/>
      <color rgb="FFAAAAAA"/>
      <name val="Arial"/>
      <family val="2"/>
    </font>
  </fonts>
  <fills count="7">
    <fill>
      <patternFill patternType="none"/>
    </fill>
    <fill>
      <patternFill patternType="gray125"/>
    </fill>
    <fill>
      <patternFill patternType="solid">
        <fgColor rgb="FF1B3A5C"/>
      </patternFill>
    </fill>
    <fill>
      <patternFill patternType="solid">
        <fgColor rgb="FFFFFFFF"/>
      </patternFill>
    </fill>
    <fill>
      <patternFill patternType="solid">
        <fgColor rgb="FFF4F4F4"/>
      </patternFill>
    </fill>
    <fill>
      <patternFill patternType="solid">
        <fgColor rgb="FFEBF5FB"/>
      </patternFill>
    </fill>
    <fill>
      <patternFill patternType="solid">
        <fgColor rgb="FFFFC7CE"/>
      </patternFill>
    </fill>
  </fills>
  <borders count="4">
    <border>
      <left/>
      <right/>
      <top/>
      <bottom/>
      <diagonal/>
    </border>
    <border>
      <left style="medium">
        <color rgb="FFFFFFFF"/>
      </left>
      <right style="medium">
        <color rgb="FFFFFFFF"/>
      </right>
      <top style="thin">
        <color rgb="FFCCCCCC"/>
      </top>
      <bottom style="medium">
        <color rgb="FFFFFFFF"/>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2">
    <xf numFmtId="0" fontId="0" fillId="0" borderId="0"/>
    <xf numFmtId="0" fontId="6" fillId="6" borderId="0" applyNumberFormat="0" applyBorder="0" applyAlignment="0" applyProtection="0"/>
  </cellStyleXfs>
  <cellXfs count="14">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3" borderId="2" xfId="0" applyFont="1" applyFill="1" applyBorder="1" applyAlignment="1">
      <alignment horizontal="center" vertical="top" wrapText="1"/>
    </xf>
    <xf numFmtId="0" fontId="2" fillId="3" borderId="2" xfId="0" applyFont="1" applyFill="1" applyBorder="1" applyAlignment="1">
      <alignment horizontal="left" vertical="top" wrapText="1"/>
    </xf>
    <xf numFmtId="0" fontId="3" fillId="4"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2" fillId="5" borderId="2" xfId="0" applyFont="1" applyFill="1" applyBorder="1" applyAlignment="1">
      <alignment horizontal="center" vertical="top" wrapText="1"/>
    </xf>
    <xf numFmtId="0" fontId="2" fillId="5"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0" fillId="0" borderId="0" xfId="0" applyAlignment="1">
      <alignment vertical="top" wrapText="1"/>
    </xf>
    <xf numFmtId="0" fontId="5" fillId="0" borderId="3" xfId="0" applyFont="1" applyBorder="1" applyAlignment="1">
      <alignment horizontal="left" vertical="top" wrapText="1"/>
    </xf>
    <xf numFmtId="0" fontId="6" fillId="0" borderId="3" xfId="1" applyFill="1" applyBorder="1" applyAlignment="1">
      <alignment horizontal="left" vertical="top" wrapText="1"/>
    </xf>
    <xf numFmtId="0" fontId="7" fillId="0" borderId="3" xfId="0" applyFont="1" applyBorder="1" applyAlignment="1">
      <alignment horizontal="left" vertical="top" wrapText="1"/>
    </xf>
  </cellXfs>
  <cellStyles count="2">
    <cellStyle name="Bad" xfId="1" builtinId="27"/>
    <cellStyle name="Normal" xfId="0" builtinId="0"/>
  </cellStyles>
  <dxfs count="3">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1"/>
  <sheetViews>
    <sheetView tabSelected="1" workbookViewId="0">
      <pane xSplit="3" ySplit="1" topLeftCell="D2" activePane="bottomRight" state="frozen"/>
      <selection pane="topRight"/>
      <selection pane="bottomLeft"/>
      <selection pane="bottomRight" activeCell="D2" sqref="D2"/>
    </sheetView>
  </sheetViews>
  <sheetFormatPr defaultRowHeight="14.5" x14ac:dyDescent="0.35"/>
  <cols>
    <col min="1" max="1" width="4" customWidth="1"/>
    <col min="2" max="2" width="32" customWidth="1"/>
    <col min="3" max="3" width="36" customWidth="1"/>
    <col min="4" max="4" width="7" customWidth="1"/>
    <col min="5" max="5" width="28" customWidth="1"/>
    <col min="6" max="6" width="44" customWidth="1"/>
    <col min="7" max="7" width="52" customWidth="1"/>
    <col min="8" max="8" width="7" customWidth="1"/>
    <col min="9" max="9" width="28" customWidth="1"/>
    <col min="10" max="10" width="44" customWidth="1"/>
    <col min="11" max="11" width="62.453125" customWidth="1"/>
    <col min="12" max="12" width="7" customWidth="1"/>
    <col min="13" max="13" width="28" customWidth="1"/>
    <col min="14" max="14" width="44" customWidth="1"/>
    <col min="15" max="15" width="52" customWidth="1"/>
    <col min="16" max="16" width="8.7265625" style="10"/>
    <col min="17" max="17" width="52" customWidth="1"/>
  </cols>
  <sheetData>
    <row r="1" spans="1:17" ht="36" customHeight="1" thickBot="1" x14ac:dyDescent="0.4">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413</v>
      </c>
      <c r="Q1" s="2" t="s">
        <v>414</v>
      </c>
    </row>
    <row r="2" spans="1:17" ht="90" customHeight="1" x14ac:dyDescent="0.35">
      <c r="A2" s="3">
        <v>1</v>
      </c>
      <c r="B2" s="4" t="s">
        <v>15</v>
      </c>
      <c r="C2" s="5" t="s">
        <v>16</v>
      </c>
      <c r="D2" s="5" t="s">
        <v>16</v>
      </c>
      <c r="E2" s="5" t="s">
        <v>16</v>
      </c>
      <c r="F2" s="5" t="s">
        <v>16</v>
      </c>
      <c r="G2" s="5" t="s">
        <v>16</v>
      </c>
      <c r="H2" s="5" t="s">
        <v>16</v>
      </c>
      <c r="I2" s="5" t="s">
        <v>16</v>
      </c>
      <c r="J2" s="5" t="s">
        <v>16</v>
      </c>
      <c r="K2" s="5" t="s">
        <v>16</v>
      </c>
      <c r="L2" s="3" t="s">
        <v>17</v>
      </c>
      <c r="M2" s="6" t="s">
        <v>18</v>
      </c>
      <c r="N2" s="6" t="s">
        <v>19</v>
      </c>
      <c r="O2" s="6" t="s">
        <v>20</v>
      </c>
      <c r="P2" s="11" t="s">
        <v>402</v>
      </c>
      <c r="Q2" s="6" t="s">
        <v>403</v>
      </c>
    </row>
    <row r="3" spans="1:17" ht="90" customHeight="1" x14ac:dyDescent="0.35">
      <c r="A3" s="7">
        <v>2</v>
      </c>
      <c r="B3" s="8" t="s">
        <v>21</v>
      </c>
      <c r="C3" s="9" t="s">
        <v>22</v>
      </c>
      <c r="D3" s="7" t="s">
        <v>17</v>
      </c>
      <c r="E3" s="9" t="s">
        <v>23</v>
      </c>
      <c r="F3" s="9" t="s">
        <v>24</v>
      </c>
      <c r="G3" s="9" t="s">
        <v>25</v>
      </c>
      <c r="H3" s="7" t="s">
        <v>17</v>
      </c>
      <c r="I3" s="9" t="s">
        <v>26</v>
      </c>
      <c r="J3" s="9" t="s">
        <v>27</v>
      </c>
      <c r="K3" s="9" t="s">
        <v>25</v>
      </c>
      <c r="L3" s="7" t="s">
        <v>28</v>
      </c>
      <c r="M3" s="9" t="s">
        <v>29</v>
      </c>
      <c r="N3" s="9" t="s">
        <v>30</v>
      </c>
      <c r="O3" s="9" t="s">
        <v>25</v>
      </c>
      <c r="P3" s="11" t="s">
        <v>402</v>
      </c>
      <c r="Q3" s="9" t="s">
        <v>404</v>
      </c>
    </row>
    <row r="4" spans="1:17" ht="90" customHeight="1" x14ac:dyDescent="0.35">
      <c r="A4" s="3">
        <v>3</v>
      </c>
      <c r="B4" s="4" t="s">
        <v>31</v>
      </c>
      <c r="C4" s="5" t="s">
        <v>16</v>
      </c>
      <c r="D4" s="5" t="s">
        <v>16</v>
      </c>
      <c r="E4" s="5" t="s">
        <v>16</v>
      </c>
      <c r="F4" s="5" t="s">
        <v>16</v>
      </c>
      <c r="G4" s="5" t="s">
        <v>16</v>
      </c>
      <c r="H4" s="3" t="s">
        <v>28</v>
      </c>
      <c r="I4" s="6" t="s">
        <v>32</v>
      </c>
      <c r="J4" s="6" t="s">
        <v>33</v>
      </c>
      <c r="K4" s="6" t="s">
        <v>34</v>
      </c>
      <c r="L4" s="3" t="s">
        <v>35</v>
      </c>
      <c r="M4" s="6" t="s">
        <v>36</v>
      </c>
      <c r="N4" s="6" t="s">
        <v>37</v>
      </c>
      <c r="O4" s="6" t="s">
        <v>34</v>
      </c>
      <c r="P4" s="11" t="s">
        <v>399</v>
      </c>
      <c r="Q4" s="6" t="s">
        <v>405</v>
      </c>
    </row>
    <row r="5" spans="1:17" ht="90" customHeight="1" x14ac:dyDescent="0.35">
      <c r="A5" s="7">
        <v>4</v>
      </c>
      <c r="B5" s="8" t="s">
        <v>38</v>
      </c>
      <c r="C5" s="9" t="s">
        <v>39</v>
      </c>
      <c r="D5" s="7" t="s">
        <v>28</v>
      </c>
      <c r="E5" s="9" t="s">
        <v>40</v>
      </c>
      <c r="F5" s="9" t="s">
        <v>41</v>
      </c>
      <c r="G5" s="9" t="s">
        <v>42</v>
      </c>
      <c r="H5" s="7" t="s">
        <v>35</v>
      </c>
      <c r="I5" s="9" t="s">
        <v>43</v>
      </c>
      <c r="J5" s="9" t="s">
        <v>44</v>
      </c>
      <c r="K5" s="9" t="s">
        <v>42</v>
      </c>
      <c r="L5" s="7" t="s">
        <v>45</v>
      </c>
      <c r="M5" s="9" t="s">
        <v>46</v>
      </c>
      <c r="N5" s="9" t="s">
        <v>47</v>
      </c>
      <c r="O5" s="9" t="s">
        <v>42</v>
      </c>
      <c r="P5" s="12" t="s">
        <v>402</v>
      </c>
      <c r="Q5" s="9" t="s">
        <v>406</v>
      </c>
    </row>
    <row r="6" spans="1:17" ht="90" customHeight="1" x14ac:dyDescent="0.35">
      <c r="A6" s="3">
        <v>5</v>
      </c>
      <c r="B6" s="4" t="s">
        <v>48</v>
      </c>
      <c r="C6" s="6" t="s">
        <v>49</v>
      </c>
      <c r="D6" s="5" t="s">
        <v>16</v>
      </c>
      <c r="E6" s="5" t="s">
        <v>16</v>
      </c>
      <c r="F6" s="5" t="s">
        <v>16</v>
      </c>
      <c r="G6" s="5" t="s">
        <v>16</v>
      </c>
      <c r="H6" s="5" t="s">
        <v>16</v>
      </c>
      <c r="I6" s="5" t="s">
        <v>16</v>
      </c>
      <c r="J6" s="5" t="s">
        <v>16</v>
      </c>
      <c r="K6" s="5" t="s">
        <v>16</v>
      </c>
      <c r="L6" s="5" t="s">
        <v>16</v>
      </c>
      <c r="M6" s="5" t="s">
        <v>16</v>
      </c>
      <c r="N6" s="5" t="s">
        <v>16</v>
      </c>
      <c r="O6" s="5" t="s">
        <v>16</v>
      </c>
      <c r="P6" s="11" t="s">
        <v>402</v>
      </c>
      <c r="Q6" s="5" t="s">
        <v>406</v>
      </c>
    </row>
    <row r="7" spans="1:17" ht="90" customHeight="1" x14ac:dyDescent="0.35">
      <c r="A7" s="7">
        <v>6</v>
      </c>
      <c r="B7" s="8" t="s">
        <v>50</v>
      </c>
      <c r="C7" s="5" t="s">
        <v>16</v>
      </c>
      <c r="D7" s="5" t="s">
        <v>16</v>
      </c>
      <c r="E7" s="5" t="s">
        <v>16</v>
      </c>
      <c r="F7" s="5" t="s">
        <v>16</v>
      </c>
      <c r="G7" s="5" t="s">
        <v>16</v>
      </c>
      <c r="H7" s="7" t="s">
        <v>45</v>
      </c>
      <c r="I7" s="9" t="s">
        <v>51</v>
      </c>
      <c r="J7" s="9" t="s">
        <v>52</v>
      </c>
      <c r="K7" s="9" t="s">
        <v>53</v>
      </c>
      <c r="L7" s="7" t="s">
        <v>54</v>
      </c>
      <c r="M7" s="9" t="s">
        <v>55</v>
      </c>
      <c r="N7" s="9" t="s">
        <v>56</v>
      </c>
      <c r="O7" s="9" t="s">
        <v>53</v>
      </c>
      <c r="P7" s="11" t="s">
        <v>399</v>
      </c>
      <c r="Q7" s="9" t="s">
        <v>407</v>
      </c>
    </row>
    <row r="8" spans="1:17" ht="90" customHeight="1" x14ac:dyDescent="0.35">
      <c r="A8" s="3">
        <v>7</v>
      </c>
      <c r="B8" s="4" t="s">
        <v>57</v>
      </c>
      <c r="C8" s="5" t="s">
        <v>16</v>
      </c>
      <c r="D8" s="5" t="s">
        <v>16</v>
      </c>
      <c r="E8" s="5" t="s">
        <v>16</v>
      </c>
      <c r="F8" s="5" t="s">
        <v>16</v>
      </c>
      <c r="G8" s="5" t="s">
        <v>16</v>
      </c>
      <c r="H8" s="3" t="s">
        <v>54</v>
      </c>
      <c r="I8" s="6" t="s">
        <v>57</v>
      </c>
      <c r="J8" s="6" t="s">
        <v>58</v>
      </c>
      <c r="K8" s="6" t="s">
        <v>59</v>
      </c>
      <c r="L8" s="3" t="s">
        <v>60</v>
      </c>
      <c r="M8" s="6" t="s">
        <v>61</v>
      </c>
      <c r="N8" s="6" t="s">
        <v>62</v>
      </c>
      <c r="O8" s="6" t="s">
        <v>59</v>
      </c>
      <c r="P8" s="11" t="s">
        <v>402</v>
      </c>
      <c r="Q8" s="6" t="s">
        <v>408</v>
      </c>
    </row>
    <row r="9" spans="1:17" ht="90" customHeight="1" x14ac:dyDescent="0.35">
      <c r="A9" s="7">
        <v>8</v>
      </c>
      <c r="B9" s="8" t="s">
        <v>63</v>
      </c>
      <c r="C9" s="5" t="s">
        <v>16</v>
      </c>
      <c r="D9" s="5" t="s">
        <v>16</v>
      </c>
      <c r="E9" s="5" t="s">
        <v>16</v>
      </c>
      <c r="F9" s="5" t="s">
        <v>16</v>
      </c>
      <c r="G9" s="5" t="s">
        <v>16</v>
      </c>
      <c r="H9" s="7" t="s">
        <v>60</v>
      </c>
      <c r="I9" s="9" t="s">
        <v>64</v>
      </c>
      <c r="J9" s="9" t="s">
        <v>65</v>
      </c>
      <c r="K9" s="9" t="s">
        <v>66</v>
      </c>
      <c r="L9" s="7" t="s">
        <v>67</v>
      </c>
      <c r="M9" s="9" t="s">
        <v>68</v>
      </c>
      <c r="N9" s="9" t="s">
        <v>69</v>
      </c>
      <c r="O9" s="9" t="s">
        <v>66</v>
      </c>
      <c r="P9" s="11" t="s">
        <v>400</v>
      </c>
      <c r="Q9" s="9" t="s">
        <v>401</v>
      </c>
    </row>
    <row r="10" spans="1:17" ht="90" customHeight="1" x14ac:dyDescent="0.35">
      <c r="A10" s="3">
        <v>9</v>
      </c>
      <c r="B10" s="4" t="s">
        <v>70</v>
      </c>
      <c r="C10" s="5" t="s">
        <v>16</v>
      </c>
      <c r="D10" s="5" t="s">
        <v>16</v>
      </c>
      <c r="E10" s="5" t="s">
        <v>16</v>
      </c>
      <c r="F10" s="5" t="s">
        <v>16</v>
      </c>
      <c r="G10" s="5" t="s">
        <v>16</v>
      </c>
      <c r="H10" s="3" t="s">
        <v>67</v>
      </c>
      <c r="I10" s="6" t="s">
        <v>71</v>
      </c>
      <c r="J10" s="6" t="s">
        <v>72</v>
      </c>
      <c r="K10" s="6" t="s">
        <v>73</v>
      </c>
      <c r="L10" s="3" t="s">
        <v>74</v>
      </c>
      <c r="M10" s="6" t="s">
        <v>75</v>
      </c>
      <c r="N10" s="6" t="s">
        <v>76</v>
      </c>
      <c r="O10" s="6" t="s">
        <v>73</v>
      </c>
      <c r="P10" s="11" t="s">
        <v>400</v>
      </c>
      <c r="Q10" s="6" t="s">
        <v>401</v>
      </c>
    </row>
    <row r="11" spans="1:17" ht="90" customHeight="1" x14ac:dyDescent="0.35">
      <c r="A11" s="7">
        <v>10</v>
      </c>
      <c r="B11" s="8" t="s">
        <v>77</v>
      </c>
      <c r="C11" s="9" t="s">
        <v>78</v>
      </c>
      <c r="D11" s="5" t="s">
        <v>16</v>
      </c>
      <c r="E11" s="5" t="s">
        <v>16</v>
      </c>
      <c r="F11" s="5" t="s">
        <v>16</v>
      </c>
      <c r="G11" s="5" t="s">
        <v>16</v>
      </c>
      <c r="H11" s="7" t="s">
        <v>74</v>
      </c>
      <c r="I11" s="9" t="s">
        <v>77</v>
      </c>
      <c r="J11" s="9" t="s">
        <v>79</v>
      </c>
      <c r="K11" s="9" t="s">
        <v>80</v>
      </c>
      <c r="L11" s="7" t="s">
        <v>81</v>
      </c>
      <c r="M11" s="9" t="s">
        <v>77</v>
      </c>
      <c r="N11" s="9" t="s">
        <v>82</v>
      </c>
      <c r="O11" s="9" t="s">
        <v>80</v>
      </c>
      <c r="P11" s="11" t="s">
        <v>402</v>
      </c>
      <c r="Q11" s="9" t="s">
        <v>406</v>
      </c>
    </row>
    <row r="12" spans="1:17" ht="90" customHeight="1" x14ac:dyDescent="0.35">
      <c r="A12" s="3">
        <v>11</v>
      </c>
      <c r="B12" s="4" t="s">
        <v>83</v>
      </c>
      <c r="C12" s="6" t="s">
        <v>84</v>
      </c>
      <c r="D12" s="5" t="s">
        <v>16</v>
      </c>
      <c r="E12" s="5" t="s">
        <v>16</v>
      </c>
      <c r="F12" s="5" t="s">
        <v>16</v>
      </c>
      <c r="G12" s="5" t="s">
        <v>16</v>
      </c>
      <c r="H12" s="3" t="s">
        <v>81</v>
      </c>
      <c r="I12" s="6" t="s">
        <v>85</v>
      </c>
      <c r="J12" s="6" t="s">
        <v>86</v>
      </c>
      <c r="K12" s="6" t="s">
        <v>87</v>
      </c>
      <c r="L12" s="3" t="s">
        <v>88</v>
      </c>
      <c r="M12" s="6" t="s">
        <v>89</v>
      </c>
      <c r="N12" s="6" t="s">
        <v>90</v>
      </c>
      <c r="O12" s="6" t="s">
        <v>87</v>
      </c>
      <c r="P12" s="11" t="s">
        <v>402</v>
      </c>
      <c r="Q12" s="6" t="s">
        <v>406</v>
      </c>
    </row>
    <row r="13" spans="1:17" ht="90" customHeight="1" x14ac:dyDescent="0.35">
      <c r="A13" s="7">
        <v>12</v>
      </c>
      <c r="B13" s="8" t="s">
        <v>91</v>
      </c>
      <c r="C13" s="9" t="s">
        <v>92</v>
      </c>
      <c r="D13" s="5" t="s">
        <v>16</v>
      </c>
      <c r="E13" s="5" t="s">
        <v>16</v>
      </c>
      <c r="F13" s="5" t="s">
        <v>16</v>
      </c>
      <c r="G13" s="5" t="s">
        <v>16</v>
      </c>
      <c r="H13" s="7" t="s">
        <v>88</v>
      </c>
      <c r="I13" s="9" t="s">
        <v>93</v>
      </c>
      <c r="J13" s="9" t="s">
        <v>94</v>
      </c>
      <c r="K13" s="9" t="s">
        <v>95</v>
      </c>
      <c r="L13" s="7" t="s">
        <v>96</v>
      </c>
      <c r="M13" s="9" t="s">
        <v>97</v>
      </c>
      <c r="N13" s="9" t="s">
        <v>98</v>
      </c>
      <c r="O13" s="9" t="s">
        <v>95</v>
      </c>
      <c r="P13" s="11" t="s">
        <v>402</v>
      </c>
      <c r="Q13" s="9" t="s">
        <v>406</v>
      </c>
    </row>
    <row r="14" spans="1:17" ht="90" customHeight="1" x14ac:dyDescent="0.35">
      <c r="A14" s="3">
        <v>13</v>
      </c>
      <c r="B14" s="4" t="s">
        <v>99</v>
      </c>
      <c r="C14" s="6" t="s">
        <v>100</v>
      </c>
      <c r="D14" s="5" t="s">
        <v>16</v>
      </c>
      <c r="E14" s="5" t="s">
        <v>16</v>
      </c>
      <c r="F14" s="5" t="s">
        <v>16</v>
      </c>
      <c r="G14" s="5" t="s">
        <v>16</v>
      </c>
      <c r="H14" s="5" t="s">
        <v>16</v>
      </c>
      <c r="I14" s="5" t="s">
        <v>16</v>
      </c>
      <c r="J14" s="5" t="s">
        <v>16</v>
      </c>
      <c r="K14" s="5" t="s">
        <v>16</v>
      </c>
      <c r="L14" s="5" t="s">
        <v>16</v>
      </c>
      <c r="M14" s="5" t="s">
        <v>16</v>
      </c>
      <c r="N14" s="5" t="s">
        <v>16</v>
      </c>
      <c r="O14" s="5" t="s">
        <v>16</v>
      </c>
      <c r="P14" s="11" t="s">
        <v>402</v>
      </c>
      <c r="Q14" s="5" t="s">
        <v>406</v>
      </c>
    </row>
    <row r="15" spans="1:17" ht="90" customHeight="1" x14ac:dyDescent="0.35">
      <c r="A15" s="7">
        <v>14</v>
      </c>
      <c r="B15" s="8" t="s">
        <v>101</v>
      </c>
      <c r="C15" s="9" t="s">
        <v>102</v>
      </c>
      <c r="D15" s="7" t="s">
        <v>35</v>
      </c>
      <c r="E15" s="9" t="s">
        <v>103</v>
      </c>
      <c r="F15" s="9" t="s">
        <v>104</v>
      </c>
      <c r="G15" s="9" t="s">
        <v>105</v>
      </c>
      <c r="H15" s="7" t="s">
        <v>96</v>
      </c>
      <c r="I15" s="9" t="s">
        <v>106</v>
      </c>
      <c r="J15" s="9" t="s">
        <v>107</v>
      </c>
      <c r="K15" s="9" t="s">
        <v>108</v>
      </c>
      <c r="L15" s="7" t="s">
        <v>109</v>
      </c>
      <c r="M15" s="9" t="s">
        <v>101</v>
      </c>
      <c r="N15" s="9" t="s">
        <v>110</v>
      </c>
      <c r="O15" s="9" t="s">
        <v>108</v>
      </c>
      <c r="P15" s="11" t="s">
        <v>402</v>
      </c>
      <c r="Q15" s="9" t="s">
        <v>406</v>
      </c>
    </row>
    <row r="16" spans="1:17" ht="90" customHeight="1" x14ac:dyDescent="0.35">
      <c r="A16" s="3">
        <v>15</v>
      </c>
      <c r="B16" s="4" t="s">
        <v>111</v>
      </c>
      <c r="C16" s="5" t="s">
        <v>16</v>
      </c>
      <c r="D16" s="5" t="s">
        <v>16</v>
      </c>
      <c r="E16" s="5" t="s">
        <v>16</v>
      </c>
      <c r="F16" s="5" t="s">
        <v>16</v>
      </c>
      <c r="G16" s="5" t="s">
        <v>16</v>
      </c>
      <c r="H16" s="3" t="s">
        <v>109</v>
      </c>
      <c r="I16" s="6" t="s">
        <v>112</v>
      </c>
      <c r="J16" s="6" t="s">
        <v>113</v>
      </c>
      <c r="K16" s="6" t="s">
        <v>114</v>
      </c>
      <c r="L16" s="3" t="s">
        <v>115</v>
      </c>
      <c r="M16" s="6" t="s">
        <v>116</v>
      </c>
      <c r="N16" s="6" t="s">
        <v>117</v>
      </c>
      <c r="O16" s="6" t="s">
        <v>114</v>
      </c>
      <c r="P16" s="11" t="s">
        <v>400</v>
      </c>
      <c r="Q16" s="6" t="s">
        <v>401</v>
      </c>
    </row>
    <row r="17" spans="1:17" ht="90" customHeight="1" x14ac:dyDescent="0.35">
      <c r="A17" s="7">
        <v>16</v>
      </c>
      <c r="B17" s="8" t="s">
        <v>118</v>
      </c>
      <c r="C17" s="9" t="s">
        <v>119</v>
      </c>
      <c r="D17" s="7" t="s">
        <v>45</v>
      </c>
      <c r="E17" s="9" t="s">
        <v>118</v>
      </c>
      <c r="F17" s="9" t="s">
        <v>120</v>
      </c>
      <c r="G17" s="9" t="s">
        <v>121</v>
      </c>
      <c r="H17" s="7" t="s">
        <v>115</v>
      </c>
      <c r="I17" s="9" t="s">
        <v>122</v>
      </c>
      <c r="J17" s="9" t="s">
        <v>123</v>
      </c>
      <c r="K17" s="9" t="s">
        <v>121</v>
      </c>
      <c r="L17" s="7" t="s">
        <v>124</v>
      </c>
      <c r="M17" s="9" t="s">
        <v>118</v>
      </c>
      <c r="N17" s="9" t="s">
        <v>125</v>
      </c>
      <c r="O17" s="9" t="s">
        <v>121</v>
      </c>
      <c r="P17" s="11" t="s">
        <v>402</v>
      </c>
      <c r="Q17" s="9" t="s">
        <v>406</v>
      </c>
    </row>
    <row r="18" spans="1:17" ht="90" customHeight="1" x14ac:dyDescent="0.35">
      <c r="A18" s="3">
        <v>17</v>
      </c>
      <c r="B18" s="4" t="s">
        <v>126</v>
      </c>
      <c r="C18" s="6" t="s">
        <v>127</v>
      </c>
      <c r="D18" s="5" t="s">
        <v>16</v>
      </c>
      <c r="E18" s="5" t="s">
        <v>16</v>
      </c>
      <c r="F18" s="5" t="s">
        <v>16</v>
      </c>
      <c r="G18" s="5" t="s">
        <v>16</v>
      </c>
      <c r="H18" s="5" t="s">
        <v>16</v>
      </c>
      <c r="I18" s="5" t="s">
        <v>16</v>
      </c>
      <c r="J18" s="5" t="s">
        <v>16</v>
      </c>
      <c r="K18" s="5" t="s">
        <v>16</v>
      </c>
      <c r="L18" s="5" t="s">
        <v>16</v>
      </c>
      <c r="M18" s="5" t="s">
        <v>16</v>
      </c>
      <c r="N18" s="5" t="s">
        <v>16</v>
      </c>
      <c r="O18" s="5" t="s">
        <v>16</v>
      </c>
      <c r="P18" s="11" t="s">
        <v>402</v>
      </c>
      <c r="Q18" s="5" t="s">
        <v>406</v>
      </c>
    </row>
    <row r="19" spans="1:17" ht="90" customHeight="1" x14ac:dyDescent="0.35">
      <c r="A19" s="7">
        <v>18</v>
      </c>
      <c r="B19" s="8" t="s">
        <v>128</v>
      </c>
      <c r="C19" s="5" t="s">
        <v>16</v>
      </c>
      <c r="D19" s="5" t="s">
        <v>16</v>
      </c>
      <c r="E19" s="5" t="s">
        <v>16</v>
      </c>
      <c r="F19" s="5" t="s">
        <v>16</v>
      </c>
      <c r="G19" s="5" t="s">
        <v>16</v>
      </c>
      <c r="H19" s="7" t="s">
        <v>124</v>
      </c>
      <c r="I19" s="9" t="s">
        <v>129</v>
      </c>
      <c r="J19" s="9" t="s">
        <v>130</v>
      </c>
      <c r="K19" s="9" t="s">
        <v>131</v>
      </c>
      <c r="L19" s="7" t="s">
        <v>132</v>
      </c>
      <c r="M19" s="9" t="s">
        <v>133</v>
      </c>
      <c r="N19" s="9" t="s">
        <v>134</v>
      </c>
      <c r="O19" s="9" t="s">
        <v>131</v>
      </c>
      <c r="P19" s="11" t="s">
        <v>399</v>
      </c>
      <c r="Q19" s="9" t="s">
        <v>409</v>
      </c>
    </row>
    <row r="20" spans="1:17" ht="90" customHeight="1" x14ac:dyDescent="0.35">
      <c r="A20" s="3">
        <v>19</v>
      </c>
      <c r="B20" s="4" t="s">
        <v>135</v>
      </c>
      <c r="C20" s="6" t="s">
        <v>136</v>
      </c>
      <c r="D20" s="5" t="s">
        <v>16</v>
      </c>
      <c r="E20" s="5" t="s">
        <v>16</v>
      </c>
      <c r="F20" s="5" t="s">
        <v>16</v>
      </c>
      <c r="G20" s="5" t="s">
        <v>16</v>
      </c>
      <c r="H20" s="3" t="s">
        <v>137</v>
      </c>
      <c r="I20" s="6" t="s">
        <v>135</v>
      </c>
      <c r="J20" s="6" t="s">
        <v>138</v>
      </c>
      <c r="K20" s="6" t="s">
        <v>139</v>
      </c>
      <c r="L20" s="3" t="s">
        <v>140</v>
      </c>
      <c r="M20" s="6" t="s">
        <v>141</v>
      </c>
      <c r="N20" s="6" t="s">
        <v>142</v>
      </c>
      <c r="O20" s="6" t="s">
        <v>139</v>
      </c>
      <c r="P20" s="11" t="s">
        <v>402</v>
      </c>
      <c r="Q20" s="6" t="s">
        <v>406</v>
      </c>
    </row>
    <row r="21" spans="1:17" ht="90" customHeight="1" x14ac:dyDescent="0.35">
      <c r="A21" s="7">
        <v>20</v>
      </c>
      <c r="B21" s="8" t="s">
        <v>143</v>
      </c>
      <c r="C21" s="9" t="s">
        <v>144</v>
      </c>
      <c r="D21" s="5" t="s">
        <v>16</v>
      </c>
      <c r="E21" s="5" t="s">
        <v>16</v>
      </c>
      <c r="F21" s="5" t="s">
        <v>16</v>
      </c>
      <c r="G21" s="5" t="s">
        <v>16</v>
      </c>
      <c r="H21" s="5" t="s">
        <v>16</v>
      </c>
      <c r="I21" s="5" t="s">
        <v>16</v>
      </c>
      <c r="J21" s="5" t="s">
        <v>16</v>
      </c>
      <c r="K21" s="5" t="s">
        <v>16</v>
      </c>
      <c r="L21" s="5" t="s">
        <v>16</v>
      </c>
      <c r="M21" s="5" t="s">
        <v>16</v>
      </c>
      <c r="N21" s="5" t="s">
        <v>16</v>
      </c>
      <c r="O21" s="5" t="s">
        <v>16</v>
      </c>
      <c r="P21" s="11" t="s">
        <v>402</v>
      </c>
      <c r="Q21" s="5" t="s">
        <v>406</v>
      </c>
    </row>
    <row r="22" spans="1:17" ht="90" customHeight="1" x14ac:dyDescent="0.35">
      <c r="A22" s="3">
        <v>21</v>
      </c>
      <c r="B22" s="4" t="s">
        <v>145</v>
      </c>
      <c r="C22" s="6" t="s">
        <v>146</v>
      </c>
      <c r="D22" s="5" t="s">
        <v>16</v>
      </c>
      <c r="E22" s="5" t="s">
        <v>16</v>
      </c>
      <c r="F22" s="5" t="s">
        <v>16</v>
      </c>
      <c r="G22" s="5" t="s">
        <v>16</v>
      </c>
      <c r="H22" s="5" t="s">
        <v>16</v>
      </c>
      <c r="I22" s="5" t="s">
        <v>16</v>
      </c>
      <c r="J22" s="5" t="s">
        <v>16</v>
      </c>
      <c r="K22" s="5" t="s">
        <v>16</v>
      </c>
      <c r="L22" s="5" t="s">
        <v>16</v>
      </c>
      <c r="M22" s="5" t="s">
        <v>16</v>
      </c>
      <c r="N22" s="5" t="s">
        <v>16</v>
      </c>
      <c r="O22" s="5" t="s">
        <v>16</v>
      </c>
      <c r="P22" s="11" t="s">
        <v>402</v>
      </c>
      <c r="Q22" s="5" t="s">
        <v>406</v>
      </c>
    </row>
    <row r="23" spans="1:17" ht="90" customHeight="1" x14ac:dyDescent="0.35">
      <c r="A23" s="7">
        <v>22</v>
      </c>
      <c r="B23" s="8" t="s">
        <v>147</v>
      </c>
      <c r="C23" s="9" t="s">
        <v>148</v>
      </c>
      <c r="D23" s="7" t="s">
        <v>54</v>
      </c>
      <c r="E23" s="9" t="s">
        <v>149</v>
      </c>
      <c r="F23" s="9" t="s">
        <v>150</v>
      </c>
      <c r="G23" s="9" t="s">
        <v>151</v>
      </c>
      <c r="H23" s="7" t="s">
        <v>140</v>
      </c>
      <c r="I23" s="9" t="s">
        <v>152</v>
      </c>
      <c r="J23" s="9" t="s">
        <v>153</v>
      </c>
      <c r="K23" s="9" t="s">
        <v>151</v>
      </c>
      <c r="L23" s="7" t="s">
        <v>154</v>
      </c>
      <c r="M23" s="9" t="s">
        <v>155</v>
      </c>
      <c r="N23" s="9" t="s">
        <v>156</v>
      </c>
      <c r="O23" s="9" t="s">
        <v>151</v>
      </c>
      <c r="P23" s="11" t="s">
        <v>402</v>
      </c>
      <c r="Q23" s="9" t="s">
        <v>406</v>
      </c>
    </row>
    <row r="24" spans="1:17" ht="90" customHeight="1" x14ac:dyDescent="0.35">
      <c r="A24" s="3">
        <v>23</v>
      </c>
      <c r="B24" s="4" t="s">
        <v>157</v>
      </c>
      <c r="C24" s="6" t="s">
        <v>158</v>
      </c>
      <c r="D24" s="5" t="s">
        <v>16</v>
      </c>
      <c r="E24" s="5" t="s">
        <v>16</v>
      </c>
      <c r="F24" s="5" t="s">
        <v>16</v>
      </c>
      <c r="G24" s="5" t="s">
        <v>16</v>
      </c>
      <c r="H24" s="5" t="s">
        <v>16</v>
      </c>
      <c r="I24" s="5" t="s">
        <v>16</v>
      </c>
      <c r="J24" s="5" t="s">
        <v>16</v>
      </c>
      <c r="K24" s="5" t="s">
        <v>16</v>
      </c>
      <c r="L24" s="5" t="s">
        <v>16</v>
      </c>
      <c r="M24" s="5" t="s">
        <v>16</v>
      </c>
      <c r="N24" s="5" t="s">
        <v>16</v>
      </c>
      <c r="O24" s="5" t="s">
        <v>16</v>
      </c>
      <c r="P24" s="11" t="s">
        <v>402</v>
      </c>
      <c r="Q24" s="5" t="s">
        <v>406</v>
      </c>
    </row>
    <row r="25" spans="1:17" ht="90" customHeight="1" x14ac:dyDescent="0.35">
      <c r="A25" s="7">
        <v>24</v>
      </c>
      <c r="B25" s="8" t="s">
        <v>159</v>
      </c>
      <c r="C25" s="9" t="s">
        <v>160</v>
      </c>
      <c r="D25" s="5" t="s">
        <v>16</v>
      </c>
      <c r="E25" s="5" t="s">
        <v>16</v>
      </c>
      <c r="F25" s="5" t="s">
        <v>16</v>
      </c>
      <c r="G25" s="5" t="s">
        <v>16</v>
      </c>
      <c r="H25" s="7" t="s">
        <v>132</v>
      </c>
      <c r="I25" s="9" t="s">
        <v>159</v>
      </c>
      <c r="J25" s="9" t="s">
        <v>161</v>
      </c>
      <c r="K25" s="9" t="s">
        <v>162</v>
      </c>
      <c r="L25" s="7" t="s">
        <v>137</v>
      </c>
      <c r="M25" s="9" t="s">
        <v>163</v>
      </c>
      <c r="N25" s="9" t="s">
        <v>164</v>
      </c>
      <c r="O25" s="9" t="s">
        <v>162</v>
      </c>
      <c r="P25" s="11" t="s">
        <v>402</v>
      </c>
      <c r="Q25" s="9" t="s">
        <v>406</v>
      </c>
    </row>
    <row r="26" spans="1:17" ht="90" customHeight="1" x14ac:dyDescent="0.35">
      <c r="A26" s="3">
        <v>25</v>
      </c>
      <c r="B26" s="4" t="s">
        <v>165</v>
      </c>
      <c r="C26" s="6" t="s">
        <v>160</v>
      </c>
      <c r="D26" s="3" t="s">
        <v>60</v>
      </c>
      <c r="E26" s="6" t="s">
        <v>166</v>
      </c>
      <c r="F26" s="6" t="s">
        <v>167</v>
      </c>
      <c r="G26" s="6" t="s">
        <v>168</v>
      </c>
      <c r="H26" s="3" t="s">
        <v>154</v>
      </c>
      <c r="I26" s="6" t="s">
        <v>165</v>
      </c>
      <c r="J26" s="6" t="s">
        <v>169</v>
      </c>
      <c r="K26" s="6" t="s">
        <v>168</v>
      </c>
      <c r="L26" s="3" t="s">
        <v>170</v>
      </c>
      <c r="M26" s="6" t="s">
        <v>165</v>
      </c>
      <c r="N26" s="6" t="s">
        <v>171</v>
      </c>
      <c r="O26" s="6" t="s">
        <v>168</v>
      </c>
      <c r="P26" s="11" t="s">
        <v>402</v>
      </c>
      <c r="Q26" s="6" t="s">
        <v>406</v>
      </c>
    </row>
    <row r="27" spans="1:17" ht="90" customHeight="1" x14ac:dyDescent="0.35">
      <c r="A27" s="7">
        <v>26</v>
      </c>
      <c r="B27" s="8" t="s">
        <v>172</v>
      </c>
      <c r="C27" s="5" t="s">
        <v>16</v>
      </c>
      <c r="D27" s="5" t="s">
        <v>16</v>
      </c>
      <c r="E27" s="5" t="s">
        <v>16</v>
      </c>
      <c r="F27" s="5" t="s">
        <v>16</v>
      </c>
      <c r="G27" s="5" t="s">
        <v>16</v>
      </c>
      <c r="H27" s="7" t="s">
        <v>170</v>
      </c>
      <c r="I27" s="9" t="s">
        <v>173</v>
      </c>
      <c r="J27" s="9" t="s">
        <v>174</v>
      </c>
      <c r="K27" s="9" t="s">
        <v>175</v>
      </c>
      <c r="L27" s="7" t="s">
        <v>176</v>
      </c>
      <c r="M27" s="9" t="s">
        <v>177</v>
      </c>
      <c r="N27" s="9" t="s">
        <v>178</v>
      </c>
      <c r="O27" s="9" t="s">
        <v>175</v>
      </c>
      <c r="P27" s="11" t="s">
        <v>400</v>
      </c>
      <c r="Q27" s="9" t="s">
        <v>401</v>
      </c>
    </row>
    <row r="28" spans="1:17" ht="90" customHeight="1" x14ac:dyDescent="0.35">
      <c r="A28" s="3">
        <v>27</v>
      </c>
      <c r="B28" s="4" t="s">
        <v>179</v>
      </c>
      <c r="C28" s="5" t="s">
        <v>16</v>
      </c>
      <c r="D28" s="5" t="s">
        <v>16</v>
      </c>
      <c r="E28" s="5" t="s">
        <v>16</v>
      </c>
      <c r="F28" s="5" t="s">
        <v>16</v>
      </c>
      <c r="G28" s="5" t="s">
        <v>16</v>
      </c>
      <c r="H28" s="3" t="s">
        <v>176</v>
      </c>
      <c r="I28" s="6" t="s">
        <v>180</v>
      </c>
      <c r="J28" s="6" t="s">
        <v>181</v>
      </c>
      <c r="K28" s="6" t="s">
        <v>182</v>
      </c>
      <c r="L28" s="3" t="s">
        <v>183</v>
      </c>
      <c r="M28" s="6" t="s">
        <v>184</v>
      </c>
      <c r="N28" s="6" t="s">
        <v>185</v>
      </c>
      <c r="O28" s="6" t="s">
        <v>182</v>
      </c>
      <c r="P28" s="11" t="s">
        <v>400</v>
      </c>
      <c r="Q28" s="6" t="s">
        <v>401</v>
      </c>
    </row>
    <row r="29" spans="1:17" ht="90" customHeight="1" x14ac:dyDescent="0.35">
      <c r="A29" s="7">
        <v>28</v>
      </c>
      <c r="B29" s="8" t="s">
        <v>186</v>
      </c>
      <c r="C29" s="5" t="s">
        <v>16</v>
      </c>
      <c r="D29" s="5" t="s">
        <v>16</v>
      </c>
      <c r="E29" s="5" t="s">
        <v>16</v>
      </c>
      <c r="F29" s="5" t="s">
        <v>16</v>
      </c>
      <c r="G29" s="5" t="s">
        <v>16</v>
      </c>
      <c r="H29" s="7" t="s">
        <v>183</v>
      </c>
      <c r="I29" s="9" t="s">
        <v>187</v>
      </c>
      <c r="J29" s="9" t="s">
        <v>188</v>
      </c>
      <c r="K29" s="9" t="s">
        <v>189</v>
      </c>
      <c r="L29" s="7" t="s">
        <v>190</v>
      </c>
      <c r="M29" s="9" t="s">
        <v>191</v>
      </c>
      <c r="N29" s="9" t="s">
        <v>192</v>
      </c>
      <c r="O29" s="9" t="s">
        <v>189</v>
      </c>
      <c r="P29" s="11" t="s">
        <v>402</v>
      </c>
      <c r="Q29" s="9" t="s">
        <v>406</v>
      </c>
    </row>
    <row r="30" spans="1:17" ht="90" customHeight="1" x14ac:dyDescent="0.35">
      <c r="A30" s="3">
        <v>29</v>
      </c>
      <c r="B30" s="4" t="s">
        <v>193</v>
      </c>
      <c r="C30" s="6" t="s">
        <v>194</v>
      </c>
      <c r="D30" s="3" t="s">
        <v>67</v>
      </c>
      <c r="E30" s="6" t="s">
        <v>195</v>
      </c>
      <c r="F30" s="6" t="s">
        <v>196</v>
      </c>
      <c r="G30" s="6" t="s">
        <v>197</v>
      </c>
      <c r="H30" s="3" t="s">
        <v>198</v>
      </c>
      <c r="I30" s="6" t="s">
        <v>199</v>
      </c>
      <c r="J30" s="6" t="s">
        <v>200</v>
      </c>
      <c r="K30" s="6" t="s">
        <v>201</v>
      </c>
      <c r="L30" s="3" t="s">
        <v>202</v>
      </c>
      <c r="M30" s="6" t="s">
        <v>203</v>
      </c>
      <c r="N30" s="6" t="s">
        <v>204</v>
      </c>
      <c r="O30" s="6" t="s">
        <v>201</v>
      </c>
      <c r="P30" s="11" t="s">
        <v>402</v>
      </c>
      <c r="Q30" s="6" t="s">
        <v>406</v>
      </c>
    </row>
    <row r="31" spans="1:17" ht="90" customHeight="1" x14ac:dyDescent="0.35">
      <c r="A31" s="7">
        <v>30</v>
      </c>
      <c r="B31" s="8" t="s">
        <v>205</v>
      </c>
      <c r="C31" s="9" t="s">
        <v>194</v>
      </c>
      <c r="D31" s="5" t="s">
        <v>16</v>
      </c>
      <c r="E31" s="5" t="s">
        <v>16</v>
      </c>
      <c r="F31" s="5" t="s">
        <v>16</v>
      </c>
      <c r="G31" s="5" t="s">
        <v>16</v>
      </c>
      <c r="H31" s="7" t="s">
        <v>206</v>
      </c>
      <c r="I31" s="9" t="s">
        <v>205</v>
      </c>
      <c r="J31" s="9" t="s">
        <v>207</v>
      </c>
      <c r="K31" s="9" t="s">
        <v>208</v>
      </c>
      <c r="L31" s="7" t="s">
        <v>209</v>
      </c>
      <c r="M31" s="9" t="s">
        <v>210</v>
      </c>
      <c r="N31" s="9" t="s">
        <v>211</v>
      </c>
      <c r="O31" s="9" t="s">
        <v>208</v>
      </c>
      <c r="P31" s="11" t="s">
        <v>402</v>
      </c>
      <c r="Q31" s="9" t="s">
        <v>406</v>
      </c>
    </row>
    <row r="32" spans="1:17" ht="90" customHeight="1" x14ac:dyDescent="0.35">
      <c r="A32" s="3">
        <v>31</v>
      </c>
      <c r="B32" s="4" t="s">
        <v>212</v>
      </c>
      <c r="C32" s="5" t="s">
        <v>16</v>
      </c>
      <c r="D32" s="5" t="s">
        <v>16</v>
      </c>
      <c r="E32" s="5" t="s">
        <v>16</v>
      </c>
      <c r="F32" s="5" t="s">
        <v>16</v>
      </c>
      <c r="G32" s="5" t="s">
        <v>16</v>
      </c>
      <c r="H32" s="3" t="s">
        <v>190</v>
      </c>
      <c r="I32" s="6" t="s">
        <v>212</v>
      </c>
      <c r="J32" s="6" t="s">
        <v>213</v>
      </c>
      <c r="K32" s="6" t="s">
        <v>214</v>
      </c>
      <c r="L32" s="3" t="s">
        <v>215</v>
      </c>
      <c r="M32" s="6" t="s">
        <v>216</v>
      </c>
      <c r="N32" s="6" t="s">
        <v>217</v>
      </c>
      <c r="O32" s="6" t="s">
        <v>214</v>
      </c>
      <c r="P32" s="11" t="s">
        <v>400</v>
      </c>
      <c r="Q32" s="6" t="s">
        <v>401</v>
      </c>
    </row>
    <row r="33" spans="1:17" ht="90" customHeight="1" x14ac:dyDescent="0.35">
      <c r="A33" s="7">
        <v>32</v>
      </c>
      <c r="B33" s="8" t="s">
        <v>218</v>
      </c>
      <c r="C33" s="5" t="s">
        <v>16</v>
      </c>
      <c r="D33" s="5" t="s">
        <v>16</v>
      </c>
      <c r="E33" s="5" t="s">
        <v>16</v>
      </c>
      <c r="F33" s="5" t="s">
        <v>16</v>
      </c>
      <c r="G33" s="5" t="s">
        <v>16</v>
      </c>
      <c r="H33" s="7" t="s">
        <v>215</v>
      </c>
      <c r="I33" s="9" t="s">
        <v>219</v>
      </c>
      <c r="J33" s="9" t="s">
        <v>220</v>
      </c>
      <c r="K33" s="9" t="s">
        <v>221</v>
      </c>
      <c r="L33" s="7" t="s">
        <v>198</v>
      </c>
      <c r="M33" s="9" t="s">
        <v>222</v>
      </c>
      <c r="N33" s="9" t="s">
        <v>223</v>
      </c>
      <c r="O33" s="9" t="s">
        <v>221</v>
      </c>
      <c r="P33" s="11" t="s">
        <v>402</v>
      </c>
      <c r="Q33" s="9" t="s">
        <v>406</v>
      </c>
    </row>
    <row r="34" spans="1:17" ht="90" customHeight="1" x14ac:dyDescent="0.35">
      <c r="A34" s="3">
        <v>33</v>
      </c>
      <c r="B34" s="4" t="s">
        <v>224</v>
      </c>
      <c r="C34" s="5" t="s">
        <v>16</v>
      </c>
      <c r="D34" s="5" t="s">
        <v>16</v>
      </c>
      <c r="E34" s="5" t="s">
        <v>16</v>
      </c>
      <c r="F34" s="5" t="s">
        <v>16</v>
      </c>
      <c r="G34" s="5" t="s">
        <v>16</v>
      </c>
      <c r="H34" s="3" t="s">
        <v>202</v>
      </c>
      <c r="I34" s="6" t="s">
        <v>225</v>
      </c>
      <c r="J34" s="6" t="s">
        <v>226</v>
      </c>
      <c r="K34" s="6" t="s">
        <v>227</v>
      </c>
      <c r="L34" s="3" t="s">
        <v>206</v>
      </c>
      <c r="M34" s="6" t="s">
        <v>228</v>
      </c>
      <c r="N34" s="6" t="s">
        <v>229</v>
      </c>
      <c r="O34" s="6" t="s">
        <v>227</v>
      </c>
      <c r="P34" s="13" t="s">
        <v>400</v>
      </c>
      <c r="Q34" s="6" t="s">
        <v>401</v>
      </c>
    </row>
    <row r="35" spans="1:17" ht="90" customHeight="1" x14ac:dyDescent="0.35">
      <c r="A35" s="7">
        <v>34</v>
      </c>
      <c r="B35" s="8" t="s">
        <v>230</v>
      </c>
      <c r="C35" s="5" t="s">
        <v>16</v>
      </c>
      <c r="D35" s="5" t="s">
        <v>16</v>
      </c>
      <c r="E35" s="5" t="s">
        <v>16</v>
      </c>
      <c r="F35" s="5" t="s">
        <v>16</v>
      </c>
      <c r="G35" s="5" t="s">
        <v>16</v>
      </c>
      <c r="H35" s="7" t="s">
        <v>209</v>
      </c>
      <c r="I35" s="9" t="s">
        <v>231</v>
      </c>
      <c r="J35" s="9" t="s">
        <v>232</v>
      </c>
      <c r="K35" s="9" t="s">
        <v>233</v>
      </c>
      <c r="L35" s="7" t="s">
        <v>234</v>
      </c>
      <c r="M35" s="9" t="s">
        <v>235</v>
      </c>
      <c r="N35" s="9" t="s">
        <v>236</v>
      </c>
      <c r="O35" s="9" t="s">
        <v>233</v>
      </c>
      <c r="P35" s="11" t="s">
        <v>402</v>
      </c>
      <c r="Q35" s="9" t="s">
        <v>412</v>
      </c>
    </row>
    <row r="36" spans="1:17" ht="90" customHeight="1" x14ac:dyDescent="0.35">
      <c r="A36" s="3">
        <v>35</v>
      </c>
      <c r="B36" s="4" t="s">
        <v>237</v>
      </c>
      <c r="C36" s="6" t="s">
        <v>238</v>
      </c>
      <c r="D36" s="5" t="s">
        <v>16</v>
      </c>
      <c r="E36" s="5" t="s">
        <v>16</v>
      </c>
      <c r="F36" s="5" t="s">
        <v>16</v>
      </c>
      <c r="G36" s="5" t="s">
        <v>16</v>
      </c>
      <c r="H36" s="3" t="s">
        <v>234</v>
      </c>
      <c r="I36" s="6" t="s">
        <v>239</v>
      </c>
      <c r="J36" s="6" t="s">
        <v>240</v>
      </c>
      <c r="K36" s="6" t="s">
        <v>241</v>
      </c>
      <c r="L36" s="3" t="s">
        <v>242</v>
      </c>
      <c r="M36" s="6" t="s">
        <v>243</v>
      </c>
      <c r="N36" s="6" t="s">
        <v>244</v>
      </c>
      <c r="O36" s="6" t="s">
        <v>241</v>
      </c>
      <c r="P36" s="13" t="s">
        <v>400</v>
      </c>
      <c r="Q36" s="6" t="s">
        <v>401</v>
      </c>
    </row>
    <row r="37" spans="1:17" ht="90" customHeight="1" x14ac:dyDescent="0.35">
      <c r="A37" s="7">
        <v>36</v>
      </c>
      <c r="B37" s="8" t="s">
        <v>245</v>
      </c>
      <c r="C37" s="9" t="s">
        <v>246</v>
      </c>
      <c r="D37" s="7" t="s">
        <v>74</v>
      </c>
      <c r="E37" s="9" t="s">
        <v>247</v>
      </c>
      <c r="F37" s="9" t="s">
        <v>248</v>
      </c>
      <c r="G37" s="9" t="s">
        <v>249</v>
      </c>
      <c r="H37" s="7" t="s">
        <v>242</v>
      </c>
      <c r="I37" s="9" t="s">
        <v>250</v>
      </c>
      <c r="J37" s="9" t="s">
        <v>251</v>
      </c>
      <c r="K37" s="9" t="s">
        <v>249</v>
      </c>
      <c r="L37" s="7" t="s">
        <v>252</v>
      </c>
      <c r="M37" s="9" t="s">
        <v>253</v>
      </c>
      <c r="N37" s="9" t="s">
        <v>254</v>
      </c>
      <c r="O37" s="9" t="s">
        <v>249</v>
      </c>
      <c r="P37" s="13" t="s">
        <v>402</v>
      </c>
      <c r="Q37" s="9" t="s">
        <v>406</v>
      </c>
    </row>
    <row r="38" spans="1:17" ht="90" customHeight="1" x14ac:dyDescent="0.35">
      <c r="A38" s="3">
        <v>37</v>
      </c>
      <c r="B38" s="4" t="s">
        <v>255</v>
      </c>
      <c r="C38" s="5" t="s">
        <v>16</v>
      </c>
      <c r="D38" s="5" t="s">
        <v>16</v>
      </c>
      <c r="E38" s="5" t="s">
        <v>16</v>
      </c>
      <c r="F38" s="5" t="s">
        <v>16</v>
      </c>
      <c r="G38" s="5" t="s">
        <v>16</v>
      </c>
      <c r="H38" s="3" t="s">
        <v>252</v>
      </c>
      <c r="I38" s="6" t="s">
        <v>255</v>
      </c>
      <c r="J38" s="6" t="s">
        <v>256</v>
      </c>
      <c r="K38" s="6" t="s">
        <v>257</v>
      </c>
      <c r="L38" s="3" t="s">
        <v>258</v>
      </c>
      <c r="M38" s="6" t="s">
        <v>259</v>
      </c>
      <c r="N38" s="6" t="s">
        <v>260</v>
      </c>
      <c r="O38" s="6" t="s">
        <v>257</v>
      </c>
      <c r="P38" s="10" t="s">
        <v>402</v>
      </c>
      <c r="Q38" s="6" t="s">
        <v>406</v>
      </c>
    </row>
    <row r="39" spans="1:17" ht="90" customHeight="1" x14ac:dyDescent="0.35">
      <c r="A39" s="7">
        <v>38</v>
      </c>
      <c r="B39" s="8" t="s">
        <v>261</v>
      </c>
      <c r="C39" s="5" t="s">
        <v>16</v>
      </c>
      <c r="D39" s="5" t="s">
        <v>16</v>
      </c>
      <c r="E39" s="5" t="s">
        <v>16</v>
      </c>
      <c r="F39" s="5" t="s">
        <v>16</v>
      </c>
      <c r="G39" s="5" t="s">
        <v>16</v>
      </c>
      <c r="H39" s="7" t="s">
        <v>258</v>
      </c>
      <c r="I39" s="9" t="s">
        <v>262</v>
      </c>
      <c r="J39" s="9" t="s">
        <v>263</v>
      </c>
      <c r="K39" s="9" t="s">
        <v>264</v>
      </c>
      <c r="L39" s="7" t="s">
        <v>265</v>
      </c>
      <c r="M39" s="9" t="s">
        <v>266</v>
      </c>
      <c r="N39" s="9" t="s">
        <v>267</v>
      </c>
      <c r="O39" s="9" t="s">
        <v>268</v>
      </c>
      <c r="P39" s="10" t="s">
        <v>402</v>
      </c>
      <c r="Q39" s="9" t="s">
        <v>411</v>
      </c>
    </row>
    <row r="40" spans="1:17" ht="90" customHeight="1" x14ac:dyDescent="0.35">
      <c r="A40" s="3">
        <v>39</v>
      </c>
      <c r="B40" s="4" t="s">
        <v>269</v>
      </c>
      <c r="C40" s="5" t="s">
        <v>16</v>
      </c>
      <c r="D40" s="5" t="s">
        <v>16</v>
      </c>
      <c r="E40" s="5" t="s">
        <v>16</v>
      </c>
      <c r="F40" s="5" t="s">
        <v>16</v>
      </c>
      <c r="G40" s="5" t="s">
        <v>16</v>
      </c>
      <c r="H40" s="3" t="s">
        <v>265</v>
      </c>
      <c r="I40" s="6" t="s">
        <v>270</v>
      </c>
      <c r="J40" s="6" t="s">
        <v>271</v>
      </c>
      <c r="K40" s="6" t="s">
        <v>272</v>
      </c>
      <c r="L40" s="3" t="s">
        <v>273</v>
      </c>
      <c r="M40" s="6" t="s">
        <v>274</v>
      </c>
      <c r="N40" s="6" t="s">
        <v>275</v>
      </c>
      <c r="O40" s="6" t="s">
        <v>272</v>
      </c>
      <c r="P40" s="10" t="s">
        <v>400</v>
      </c>
      <c r="Q40" s="6" t="s">
        <v>401</v>
      </c>
    </row>
    <row r="41" spans="1:17" ht="90" customHeight="1" x14ac:dyDescent="0.35">
      <c r="A41" s="7">
        <v>40</v>
      </c>
      <c r="B41" s="8" t="s">
        <v>276</v>
      </c>
      <c r="C41" s="5" t="s">
        <v>16</v>
      </c>
      <c r="D41" s="5" t="s">
        <v>16</v>
      </c>
      <c r="E41" s="5" t="s">
        <v>16</v>
      </c>
      <c r="F41" s="5" t="s">
        <v>16</v>
      </c>
      <c r="G41" s="5" t="s">
        <v>16</v>
      </c>
      <c r="H41" s="7" t="s">
        <v>273</v>
      </c>
      <c r="I41" s="9" t="s">
        <v>277</v>
      </c>
      <c r="J41" s="9" t="s">
        <v>278</v>
      </c>
      <c r="K41" s="9" t="s">
        <v>279</v>
      </c>
      <c r="L41" s="7" t="s">
        <v>280</v>
      </c>
      <c r="M41" s="9" t="s">
        <v>276</v>
      </c>
      <c r="N41" s="9" t="s">
        <v>281</v>
      </c>
      <c r="O41" s="9" t="s">
        <v>279</v>
      </c>
      <c r="P41" s="10" t="s">
        <v>402</v>
      </c>
      <c r="Q41" s="9" t="s">
        <v>410</v>
      </c>
    </row>
    <row r="42" spans="1:17" ht="90" customHeight="1" x14ac:dyDescent="0.35">
      <c r="A42" s="3">
        <v>41</v>
      </c>
      <c r="B42" s="4" t="s">
        <v>282</v>
      </c>
      <c r="C42" s="5" t="s">
        <v>16</v>
      </c>
      <c r="D42" s="5" t="s">
        <v>16</v>
      </c>
      <c r="E42" s="5" t="s">
        <v>16</v>
      </c>
      <c r="F42" s="5" t="s">
        <v>16</v>
      </c>
      <c r="G42" s="5" t="s">
        <v>16</v>
      </c>
      <c r="H42" s="3" t="s">
        <v>280</v>
      </c>
      <c r="I42" s="6" t="s">
        <v>283</v>
      </c>
      <c r="J42" s="6" t="s">
        <v>284</v>
      </c>
      <c r="K42" s="6" t="s">
        <v>285</v>
      </c>
      <c r="L42" s="3" t="s">
        <v>286</v>
      </c>
      <c r="M42" s="6" t="s">
        <v>282</v>
      </c>
      <c r="N42" s="6" t="s">
        <v>287</v>
      </c>
      <c r="O42" s="6" t="s">
        <v>285</v>
      </c>
      <c r="P42" s="10" t="s">
        <v>402</v>
      </c>
      <c r="Q42" s="6" t="s">
        <v>410</v>
      </c>
    </row>
    <row r="43" spans="1:17" ht="90" customHeight="1" x14ac:dyDescent="0.35">
      <c r="A43" s="7">
        <v>42</v>
      </c>
      <c r="B43" s="8" t="s">
        <v>288</v>
      </c>
      <c r="C43" s="9" t="s">
        <v>289</v>
      </c>
      <c r="D43" s="7" t="s">
        <v>81</v>
      </c>
      <c r="E43" s="9" t="s">
        <v>290</v>
      </c>
      <c r="F43" s="9" t="s">
        <v>291</v>
      </c>
      <c r="G43" s="9" t="s">
        <v>292</v>
      </c>
      <c r="H43" s="7" t="s">
        <v>286</v>
      </c>
      <c r="I43" s="9" t="s">
        <v>288</v>
      </c>
      <c r="J43" s="9" t="s">
        <v>293</v>
      </c>
      <c r="K43" s="9" t="s">
        <v>292</v>
      </c>
      <c r="L43" s="7" t="s">
        <v>294</v>
      </c>
      <c r="M43" s="9" t="s">
        <v>288</v>
      </c>
      <c r="N43" s="9" t="s">
        <v>295</v>
      </c>
      <c r="O43" s="9" t="s">
        <v>292</v>
      </c>
      <c r="P43" s="10" t="s">
        <v>402</v>
      </c>
      <c r="Q43" s="9" t="s">
        <v>406</v>
      </c>
    </row>
    <row r="44" spans="1:17" ht="90" customHeight="1" x14ac:dyDescent="0.35">
      <c r="A44" s="3">
        <v>43</v>
      </c>
      <c r="B44" s="4" t="s">
        <v>296</v>
      </c>
      <c r="C44" s="6" t="s">
        <v>289</v>
      </c>
      <c r="D44" s="3" t="s">
        <v>88</v>
      </c>
      <c r="E44" s="6" t="s">
        <v>297</v>
      </c>
      <c r="F44" s="6" t="s">
        <v>298</v>
      </c>
      <c r="G44" s="6" t="s">
        <v>299</v>
      </c>
      <c r="H44" s="3" t="s">
        <v>294</v>
      </c>
      <c r="I44" s="6" t="s">
        <v>300</v>
      </c>
      <c r="J44" s="6" t="s">
        <v>301</v>
      </c>
      <c r="K44" s="6" t="s">
        <v>299</v>
      </c>
      <c r="L44" s="3" t="s">
        <v>302</v>
      </c>
      <c r="M44" s="6" t="s">
        <v>303</v>
      </c>
      <c r="N44" s="6" t="s">
        <v>304</v>
      </c>
      <c r="O44" s="6" t="s">
        <v>299</v>
      </c>
      <c r="P44" s="10" t="s">
        <v>402</v>
      </c>
      <c r="Q44" s="6" t="s">
        <v>406</v>
      </c>
    </row>
    <row r="45" spans="1:17" ht="90" customHeight="1" x14ac:dyDescent="0.35">
      <c r="A45" s="7">
        <v>44</v>
      </c>
      <c r="B45" s="8" t="s">
        <v>305</v>
      </c>
      <c r="C45" s="5" t="s">
        <v>16</v>
      </c>
      <c r="D45" s="5" t="s">
        <v>16</v>
      </c>
      <c r="E45" s="5" t="s">
        <v>16</v>
      </c>
      <c r="F45" s="5" t="s">
        <v>16</v>
      </c>
      <c r="G45" s="5" t="s">
        <v>16</v>
      </c>
      <c r="H45" s="7" t="s">
        <v>302</v>
      </c>
      <c r="I45" s="9" t="s">
        <v>306</v>
      </c>
      <c r="J45" s="9" t="s">
        <v>307</v>
      </c>
      <c r="K45" s="9" t="s">
        <v>308</v>
      </c>
      <c r="L45" s="7" t="s">
        <v>309</v>
      </c>
      <c r="M45" s="9" t="s">
        <v>310</v>
      </c>
      <c r="N45" s="9" t="s">
        <v>311</v>
      </c>
      <c r="O45" s="9" t="s">
        <v>308</v>
      </c>
      <c r="P45" s="10" t="s">
        <v>402</v>
      </c>
      <c r="Q45" s="9" t="s">
        <v>406</v>
      </c>
    </row>
    <row r="46" spans="1:17" ht="90" customHeight="1" x14ac:dyDescent="0.35">
      <c r="A46" s="3">
        <v>45</v>
      </c>
      <c r="B46" s="4" t="s">
        <v>312</v>
      </c>
      <c r="C46" s="5" t="s">
        <v>16</v>
      </c>
      <c r="D46" s="5" t="s">
        <v>16</v>
      </c>
      <c r="E46" s="5" t="s">
        <v>16</v>
      </c>
      <c r="F46" s="5" t="s">
        <v>16</v>
      </c>
      <c r="G46" s="5" t="s">
        <v>16</v>
      </c>
      <c r="H46" s="3" t="s">
        <v>309</v>
      </c>
      <c r="I46" s="6" t="s">
        <v>313</v>
      </c>
      <c r="J46" s="6" t="s">
        <v>314</v>
      </c>
      <c r="K46" s="6" t="s">
        <v>315</v>
      </c>
      <c r="L46" s="3" t="s">
        <v>316</v>
      </c>
      <c r="M46" s="6" t="s">
        <v>317</v>
      </c>
      <c r="N46" s="6" t="s">
        <v>318</v>
      </c>
      <c r="O46" s="6" t="s">
        <v>315</v>
      </c>
      <c r="P46" s="10" t="s">
        <v>402</v>
      </c>
      <c r="Q46" s="6" t="s">
        <v>406</v>
      </c>
    </row>
    <row r="47" spans="1:17" ht="90" customHeight="1" x14ac:dyDescent="0.35">
      <c r="A47" s="7">
        <v>46</v>
      </c>
      <c r="B47" s="8" t="s">
        <v>319</v>
      </c>
      <c r="C47" s="9" t="s">
        <v>289</v>
      </c>
      <c r="D47" s="5" t="s">
        <v>16</v>
      </c>
      <c r="E47" s="5" t="s">
        <v>16</v>
      </c>
      <c r="F47" s="5" t="s">
        <v>16</v>
      </c>
      <c r="G47" s="5" t="s">
        <v>16</v>
      </c>
      <c r="H47" s="7" t="s">
        <v>316</v>
      </c>
      <c r="I47" s="9" t="s">
        <v>319</v>
      </c>
      <c r="J47" s="9" t="s">
        <v>320</v>
      </c>
      <c r="K47" s="9" t="s">
        <v>321</v>
      </c>
      <c r="L47" s="7" t="s">
        <v>322</v>
      </c>
      <c r="M47" s="9" t="s">
        <v>319</v>
      </c>
      <c r="N47" s="9" t="s">
        <v>323</v>
      </c>
      <c r="O47" s="9" t="s">
        <v>321</v>
      </c>
      <c r="P47" s="10" t="s">
        <v>402</v>
      </c>
      <c r="Q47" s="9" t="s">
        <v>406</v>
      </c>
    </row>
    <row r="48" spans="1:17" ht="90" customHeight="1" x14ac:dyDescent="0.35">
      <c r="A48" s="3">
        <v>47</v>
      </c>
      <c r="B48" s="4" t="s">
        <v>324</v>
      </c>
      <c r="C48" s="6" t="s">
        <v>289</v>
      </c>
      <c r="D48" s="3" t="s">
        <v>96</v>
      </c>
      <c r="E48" s="6" t="s">
        <v>325</v>
      </c>
      <c r="F48" s="6" t="s">
        <v>326</v>
      </c>
      <c r="G48" s="6" t="s">
        <v>327</v>
      </c>
      <c r="H48" s="3" t="s">
        <v>322</v>
      </c>
      <c r="I48" s="6" t="s">
        <v>328</v>
      </c>
      <c r="J48" s="6" t="s">
        <v>329</v>
      </c>
      <c r="K48" s="6" t="s">
        <v>327</v>
      </c>
      <c r="L48" s="3" t="s">
        <v>330</v>
      </c>
      <c r="M48" s="6" t="s">
        <v>331</v>
      </c>
      <c r="N48" s="6" t="s">
        <v>332</v>
      </c>
      <c r="O48" s="6" t="s">
        <v>327</v>
      </c>
      <c r="P48" s="10" t="s">
        <v>400</v>
      </c>
      <c r="Q48" s="6" t="s">
        <v>401</v>
      </c>
    </row>
    <row r="49" spans="1:18" ht="90" customHeight="1" x14ac:dyDescent="0.35">
      <c r="A49" s="7">
        <v>48</v>
      </c>
      <c r="B49" s="8" t="s">
        <v>333</v>
      </c>
      <c r="C49" s="5" t="s">
        <v>16</v>
      </c>
      <c r="D49" s="5" t="s">
        <v>16</v>
      </c>
      <c r="E49" s="5" t="s">
        <v>16</v>
      </c>
      <c r="F49" s="5" t="s">
        <v>16</v>
      </c>
      <c r="G49" s="5" t="s">
        <v>16</v>
      </c>
      <c r="H49" s="7" t="s">
        <v>330</v>
      </c>
      <c r="I49" s="9" t="s">
        <v>333</v>
      </c>
      <c r="J49" s="9" t="s">
        <v>334</v>
      </c>
      <c r="K49" s="9" t="s">
        <v>335</v>
      </c>
      <c r="L49" s="7" t="s">
        <v>336</v>
      </c>
      <c r="M49" s="9" t="s">
        <v>337</v>
      </c>
      <c r="N49" s="9" t="s">
        <v>338</v>
      </c>
      <c r="O49" s="9" t="s">
        <v>335</v>
      </c>
      <c r="P49" s="10" t="s">
        <v>399</v>
      </c>
      <c r="Q49" s="9"/>
    </row>
    <row r="50" spans="1:18" ht="90" customHeight="1" x14ac:dyDescent="0.35">
      <c r="A50" s="3">
        <v>49</v>
      </c>
      <c r="B50" s="4" t="s">
        <v>339</v>
      </c>
      <c r="C50" s="5" t="s">
        <v>16</v>
      </c>
      <c r="D50" s="3" t="s">
        <v>109</v>
      </c>
      <c r="E50" s="6" t="s">
        <v>339</v>
      </c>
      <c r="F50" s="6" t="s">
        <v>340</v>
      </c>
      <c r="G50" s="6" t="s">
        <v>341</v>
      </c>
      <c r="H50" s="3" t="s">
        <v>336</v>
      </c>
      <c r="I50" s="6" t="s">
        <v>339</v>
      </c>
      <c r="J50" s="6" t="s">
        <v>342</v>
      </c>
      <c r="K50" s="6" t="s">
        <v>343</v>
      </c>
      <c r="L50" s="3" t="s">
        <v>344</v>
      </c>
      <c r="M50" s="6" t="s">
        <v>345</v>
      </c>
      <c r="N50" s="6" t="s">
        <v>346</v>
      </c>
      <c r="O50" s="6" t="s">
        <v>343</v>
      </c>
      <c r="P50" s="10" t="s">
        <v>400</v>
      </c>
      <c r="Q50" s="6" t="s">
        <v>401</v>
      </c>
    </row>
    <row r="51" spans="1:18" ht="90" customHeight="1" x14ac:dyDescent="0.35">
      <c r="A51" s="7">
        <v>50</v>
      </c>
      <c r="B51" s="8" t="s">
        <v>347</v>
      </c>
      <c r="C51" s="5" t="s">
        <v>16</v>
      </c>
      <c r="D51" s="7" t="s">
        <v>115</v>
      </c>
      <c r="E51" s="9" t="s">
        <v>348</v>
      </c>
      <c r="F51" s="9" t="s">
        <v>349</v>
      </c>
      <c r="G51" s="9" t="s">
        <v>350</v>
      </c>
      <c r="H51" s="7" t="s">
        <v>344</v>
      </c>
      <c r="I51" s="9" t="s">
        <v>351</v>
      </c>
      <c r="J51" s="9" t="s">
        <v>352</v>
      </c>
      <c r="K51" s="9" t="s">
        <v>350</v>
      </c>
      <c r="L51" s="7" t="s">
        <v>353</v>
      </c>
      <c r="M51" s="9" t="s">
        <v>354</v>
      </c>
      <c r="N51" s="9" t="s">
        <v>355</v>
      </c>
      <c r="O51" s="9" t="s">
        <v>350</v>
      </c>
      <c r="P51" s="10" t="s">
        <v>400</v>
      </c>
      <c r="Q51" s="9" t="s">
        <v>401</v>
      </c>
    </row>
    <row r="52" spans="1:18" ht="90" customHeight="1" x14ac:dyDescent="0.35">
      <c r="A52" s="3">
        <v>51</v>
      </c>
      <c r="B52" s="4" t="s">
        <v>356</v>
      </c>
      <c r="C52" s="5" t="s">
        <v>16</v>
      </c>
      <c r="D52" s="3" t="s">
        <v>124</v>
      </c>
      <c r="E52" s="6" t="s">
        <v>357</v>
      </c>
      <c r="F52" s="6" t="s">
        <v>358</v>
      </c>
      <c r="G52" s="6" t="s">
        <v>359</v>
      </c>
      <c r="H52" s="3" t="s">
        <v>353</v>
      </c>
      <c r="I52" s="6" t="s">
        <v>360</v>
      </c>
      <c r="J52" s="6" t="s">
        <v>361</v>
      </c>
      <c r="K52" s="6" t="s">
        <v>359</v>
      </c>
      <c r="L52" s="3" t="s">
        <v>362</v>
      </c>
      <c r="M52" s="6" t="s">
        <v>363</v>
      </c>
      <c r="N52" s="6" t="s">
        <v>364</v>
      </c>
      <c r="O52" s="6" t="s">
        <v>359</v>
      </c>
      <c r="P52" s="10" t="s">
        <v>400</v>
      </c>
      <c r="Q52" s="6" t="s">
        <v>401</v>
      </c>
    </row>
    <row r="53" spans="1:18" ht="90" customHeight="1" x14ac:dyDescent="0.35">
      <c r="A53" s="7">
        <v>52</v>
      </c>
      <c r="B53" s="8" t="s">
        <v>365</v>
      </c>
      <c r="C53" s="5" t="s">
        <v>16</v>
      </c>
      <c r="D53" s="7" t="s">
        <v>132</v>
      </c>
      <c r="E53" s="9" t="s">
        <v>366</v>
      </c>
      <c r="F53" s="9" t="s">
        <v>367</v>
      </c>
      <c r="G53" s="9" t="s">
        <v>368</v>
      </c>
      <c r="H53" s="7" t="s">
        <v>362</v>
      </c>
      <c r="I53" s="9" t="s">
        <v>369</v>
      </c>
      <c r="J53" s="9" t="s">
        <v>370</v>
      </c>
      <c r="K53" s="9" t="s">
        <v>368</v>
      </c>
      <c r="L53" s="7" t="s">
        <v>371</v>
      </c>
      <c r="M53" s="9" t="s">
        <v>372</v>
      </c>
      <c r="N53" s="9" t="s">
        <v>373</v>
      </c>
      <c r="O53" s="9" t="s">
        <v>368</v>
      </c>
      <c r="P53" s="10" t="s">
        <v>400</v>
      </c>
      <c r="Q53" s="9" t="s">
        <v>401</v>
      </c>
    </row>
    <row r="54" spans="1:18" ht="90" customHeight="1" x14ac:dyDescent="0.35">
      <c r="A54" s="3">
        <v>53</v>
      </c>
      <c r="B54" s="4" t="s">
        <v>374</v>
      </c>
      <c r="C54" s="5" t="s">
        <v>16</v>
      </c>
      <c r="D54" s="3" t="s">
        <v>137</v>
      </c>
      <c r="E54" s="6" t="s">
        <v>374</v>
      </c>
      <c r="F54" s="6" t="s">
        <v>375</v>
      </c>
      <c r="G54" s="6" t="s">
        <v>376</v>
      </c>
      <c r="H54" s="3" t="s">
        <v>371</v>
      </c>
      <c r="I54" s="6" t="s">
        <v>374</v>
      </c>
      <c r="J54" s="6" t="s">
        <v>377</v>
      </c>
      <c r="K54" s="6" t="s">
        <v>376</v>
      </c>
      <c r="L54" s="3" t="s">
        <v>378</v>
      </c>
      <c r="M54" s="6" t="s">
        <v>379</v>
      </c>
      <c r="N54" s="6" t="s">
        <v>380</v>
      </c>
      <c r="O54" s="6" t="s">
        <v>376</v>
      </c>
      <c r="P54" s="10" t="s">
        <v>400</v>
      </c>
      <c r="Q54" s="6" t="s">
        <v>401</v>
      </c>
    </row>
    <row r="55" spans="1:18" ht="90" customHeight="1" x14ac:dyDescent="0.35">
      <c r="A55" s="7">
        <v>54</v>
      </c>
      <c r="B55" s="8" t="s">
        <v>381</v>
      </c>
      <c r="C55" s="5" t="s">
        <v>16</v>
      </c>
      <c r="D55" s="7" t="s">
        <v>140</v>
      </c>
      <c r="E55" s="9" t="s">
        <v>382</v>
      </c>
      <c r="F55" s="9" t="s">
        <v>383</v>
      </c>
      <c r="G55" s="9" t="s">
        <v>384</v>
      </c>
      <c r="H55" s="7" t="s">
        <v>378</v>
      </c>
      <c r="I55" s="9" t="s">
        <v>385</v>
      </c>
      <c r="J55" s="9" t="s">
        <v>386</v>
      </c>
      <c r="K55" s="9" t="s">
        <v>384</v>
      </c>
      <c r="L55" s="7" t="s">
        <v>387</v>
      </c>
      <c r="M55" s="9" t="s">
        <v>388</v>
      </c>
      <c r="N55" s="9" t="s">
        <v>389</v>
      </c>
      <c r="O55" s="9" t="s">
        <v>384</v>
      </c>
      <c r="P55" s="10" t="s">
        <v>400</v>
      </c>
      <c r="Q55" s="9" t="s">
        <v>401</v>
      </c>
    </row>
    <row r="56" spans="1:18" ht="90" customHeight="1" x14ac:dyDescent="0.35">
      <c r="A56" s="3">
        <v>55</v>
      </c>
      <c r="B56" s="4" t="s">
        <v>390</v>
      </c>
      <c r="C56" s="5" t="s">
        <v>16</v>
      </c>
      <c r="D56" s="3" t="s">
        <v>154</v>
      </c>
      <c r="E56" s="6" t="s">
        <v>391</v>
      </c>
      <c r="F56" s="6" t="s">
        <v>392</v>
      </c>
      <c r="G56" s="6" t="s">
        <v>393</v>
      </c>
      <c r="H56" s="3" t="s">
        <v>387</v>
      </c>
      <c r="I56" s="6" t="s">
        <v>394</v>
      </c>
      <c r="J56" s="6" t="s">
        <v>395</v>
      </c>
      <c r="K56" s="6" t="s">
        <v>393</v>
      </c>
      <c r="L56" s="3" t="s">
        <v>396</v>
      </c>
      <c r="M56" s="6" t="s">
        <v>397</v>
      </c>
      <c r="N56" s="6" t="s">
        <v>398</v>
      </c>
      <c r="O56" s="6" t="s">
        <v>393</v>
      </c>
      <c r="P56" s="10" t="s">
        <v>400</v>
      </c>
      <c r="Q56" s="6" t="s">
        <v>401</v>
      </c>
    </row>
    <row r="58" spans="1:18" x14ac:dyDescent="0.35">
      <c r="P58" s="10">
        <f>+COUNTIF(P2:P56,"Full")</f>
        <v>34</v>
      </c>
      <c r="Q58">
        <v>1</v>
      </c>
      <c r="R58">
        <f>+P58</f>
        <v>34</v>
      </c>
    </row>
    <row r="59" spans="1:18" x14ac:dyDescent="0.35">
      <c r="P59" s="10">
        <f>+COUNTIF(P2:P56,"Partially")</f>
        <v>17</v>
      </c>
      <c r="Q59">
        <v>0.75</v>
      </c>
      <c r="R59">
        <f>+Q59*P59</f>
        <v>12.75</v>
      </c>
    </row>
    <row r="60" spans="1:18" x14ac:dyDescent="0.35">
      <c r="P60" s="10">
        <f>+COUNTIF(P2:P56,"WRONG")</f>
        <v>4</v>
      </c>
    </row>
    <row r="61" spans="1:18" ht="15" thickBot="1" x14ac:dyDescent="0.4">
      <c r="P61" s="10">
        <f>SUM(P58:P60)</f>
        <v>55</v>
      </c>
      <c r="R61" s="1">
        <f>SUM(R58:R60)/P61</f>
        <v>0.85</v>
      </c>
    </row>
  </sheetData>
  <conditionalFormatting sqref="P2:P1048576">
    <cfRule type="cellIs" dxfId="2" priority="4" operator="equal">
      <formula>"Full"</formula>
    </cfRule>
    <cfRule type="cellIs" dxfId="1" priority="5" operator="equal">
      <formula>"Partially"</formula>
    </cfRule>
    <cfRule type="cellIs" dxfId="0" priority="6" operator="equal">
      <formula>"WRONG"</formula>
    </cfRule>
  </conditionalFormatting>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Guideline Clusters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2026-03-29T03:08:21Z</dcterms:created>
  <dcterms:modified xsi:type="dcterms:W3CDTF">2026-03-29T03:08:38Z</dcterms:modified>
</cp:coreProperties>
</file>