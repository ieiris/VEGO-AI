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6F69DE83-C322-4379-BAF8-5EA56629830E}" xr6:coauthVersionLast="47" xr6:coauthVersionMax="47" xr10:uidLastSave="{00000000-0000-0000-0000-000000000000}"/>
  <bookViews>
    <workbookView xWindow="-110" yWindow="-110" windowWidth="19420" windowHeight="11500" xr2:uid="{00000000-000D-0000-FFFF-FFFF00000000}"/>
  </bookViews>
  <sheets>
    <sheet name="Guideline Clusters" sheetId="1" r:id="rId1"/>
  </sheets>
  <definedNames>
    <definedName name="_xlnm._FilterDatabase" localSheetId="0" hidden="1">'Guideline Clusters'!$A$1:$Q$37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41" i="1" l="1"/>
  <c r="P40" i="1"/>
  <c r="R40" i="1" s="1"/>
  <c r="P39" i="1"/>
  <c r="P42" i="1" l="1"/>
  <c r="R39" i="1"/>
  <c r="R42" i="1" s="1"/>
</calcChain>
</file>

<file path=xl/sharedStrings.xml><?xml version="1.0" encoding="utf-8"?>
<sst xmlns="http://schemas.openxmlformats.org/spreadsheetml/2006/main" count="596" uniqueCount="368">
  <si>
    <t>#</t>
  </si>
  <si>
    <t>Cluster Name</t>
  </si>
  <si>
    <t>Base Element</t>
  </si>
  <si>
    <t>Run 1
ID</t>
  </si>
  <si>
    <t>Run 1
Guideline Name</t>
  </si>
  <si>
    <t>Run 1
Description</t>
  </si>
  <si>
    <t>Run 1
Citation</t>
  </si>
  <si>
    <t>Run 2
ID</t>
  </si>
  <si>
    <t>Run 2
Guideline Name</t>
  </si>
  <si>
    <t>Run 2
Description</t>
  </si>
  <si>
    <t>Run 2
Citation</t>
  </si>
  <si>
    <t>Run 3
ID</t>
  </si>
  <si>
    <t>Run 3
Guideline Name</t>
  </si>
  <si>
    <t>Run 3
Description</t>
  </si>
  <si>
    <t>Run 3
Citation</t>
  </si>
  <si>
    <t>System Scope and Purpose</t>
  </si>
  <si>
    <t>null</t>
  </si>
  <si>
    <t>G1</t>
  </si>
  <si>
    <t>Define the Cheers system's purpose</t>
  </si>
  <si>
    <t>The system's purpose and scope can be represented as a system boundary, emphasizing the key operations managed within the scope.</t>
  </si>
  <si>
    <t>"The 'Cheers' system is being developed by 'Wine Ha'Emek,' a wine trading company, to manage key business operations, including inventory management, customer management, and order processing and delivery."</t>
  </si>
  <si>
    <t>Cheers System Overview</t>
  </si>
  <si>
    <t>The segment describes the purpose of the Cheers system, aligning with defining the system's scope, actors, and use cases.</t>
  </si>
  <si>
    <t>The "Cheers" system is being developed by "Wine Ha'Emek," a wine trading company, to manage key business operations, including inventory management, customer management, and order processing and delivery.</t>
  </si>
  <si>
    <t>System Development Purpose</t>
  </si>
  <si>
    <t>This segment outlines the purpose of the 'Cheers' system and its key operations, fitting under the system boundary since it defines the scope of the system.</t>
  </si>
  <si>
    <t>Sales Staff Place Orders</t>
  </si>
  <si>
    <t>UC: Place Order, Actor: Sales</t>
  </si>
  <si>
    <t>G2</t>
  </si>
  <si>
    <t>Role of sales staff in placing orders</t>
  </si>
  <si>
    <t>Sales staff are actors who interact with the system to place customer orders.</t>
  </si>
  <si>
    <t>"The sales staff are responsible for placing customer orders, with each order being assigned to a specific employee."</t>
  </si>
  <si>
    <t>Order Placement Responsibility</t>
  </si>
  <si>
    <t>Identifies sales staff as actors responsible for placing customer orders, implying an association between actors and use cases.</t>
  </si>
  <si>
    <t>The sales staff are responsible for placing customer orders, with each order being assigned to a specific employee.</t>
  </si>
  <si>
    <t>Sales Staff Responsibilities</t>
  </si>
  <si>
    <t>The sales staff act as an actor responsible for interacting with the system to place orders, corresponding to the Actor template.</t>
  </si>
  <si>
    <t>Order Details and Categorization</t>
  </si>
  <si>
    <t>G3</t>
  </si>
  <si>
    <t>Order details and categorization</t>
  </si>
  <si>
    <t>Represents a functional requirement of the system to categorize and detail orders, which can be depicted as use cases.</t>
  </si>
  <si>
    <t>"Orders can be categorized as either regular or urgent and include the following details: order number, order date, current status (in process, dispatched, delivered, paid, suspended, or canceled), shipment date, and the assigned employee's information (ID, name, phone number, office address, email, and employment start date)."</t>
  </si>
  <si>
    <t>Order Information</t>
  </si>
  <si>
    <t>Describes the details of orders, potentially implying a use case related to order handling and categorization.</t>
  </si>
  <si>
    <t>Orders can be categorized as either regular or urgent and include the following details: order number, order date, current status (in process, dispatched, delivered, paid, suspended, or canceled), shipment date, and the assigned employee's information (ID, name, phone number, office address, email, and employment start date).</t>
  </si>
  <si>
    <t>Order Details</t>
  </si>
  <si>
    <t>This segment describes the use case where orders are made, indicating detailed functional requirements of the system.</t>
  </si>
  <si>
    <t>External Delivery Out of Scope</t>
  </si>
  <si>
    <t>G4</t>
  </si>
  <si>
    <t>Role of GalGalim in order delivery</t>
  </si>
  <si>
    <t>GalGalim's role as an external company is outside the system's scope, which defines the system boundary.</t>
  </si>
  <si>
    <t>"The actual delivery of orders is managed by an external company, called 'GalGalim,' and falls outside the scope of the current system."</t>
  </si>
  <si>
    <t>Order Delivery Management</t>
  </si>
  <si>
    <t>Indicates that delivery management is external, which suggests a system boundary for the Cheers system.</t>
  </si>
  <si>
    <t>The actual delivery of orders is managed by an external company, called "GalGalim," and falls outside the scope of the current system.</t>
  </si>
  <si>
    <t>External Delivery Company</t>
  </si>
  <si>
    <t>The segment specifies an external entity not interacting with the system directly, hence it describes a boundary, linking to the SystemBoundary.</t>
  </si>
  <si>
    <t>Order Composition (Multiple Wines)</t>
  </si>
  <si>
    <t>G5</t>
  </si>
  <si>
    <t>Tracking joint customer orders</t>
  </si>
  <si>
    <t>The requirement to track joint orders represents a functional requirement and can be depicted as a use case.</t>
  </si>
  <si>
    <t>"Orders may consist of multiple wines in different quantities. To minimize delivery costs, customers can place joint orders. In such cases, the system must track which wines and quantities have been ordered by each customer."</t>
  </si>
  <si>
    <t>Order Composition</t>
  </si>
  <si>
    <t>Describes the composition of orders, implying a use case for managing order content.</t>
  </si>
  <si>
    <t>Orders may consist of multiple wines in different quantities.</t>
  </si>
  <si>
    <t>This segment defines part of a use case where the system handles orders consisting of multiple wine items.</t>
  </si>
  <si>
    <t>Joint Orders for Cost Minimization</t>
  </si>
  <si>
    <t>G6</t>
  </si>
  <si>
    <t>Joint Order Minimization</t>
  </si>
  <si>
    <t>Mentions joint orders for cost minimization, indicating a use case for processing combined customer orders.</t>
  </si>
  <si>
    <t>To minimize delivery costs, customers can place joint orders.</t>
  </si>
  <si>
    <t>The system allows customers to place joint orders to minimize delivery costs, mapping to a use case demonstrating system requirements.</t>
  </si>
  <si>
    <t>Tracking Wines/Quantities per Customer in Joint Orders</t>
  </si>
  <si>
    <t>G7</t>
  </si>
  <si>
    <t>Tracking Ordered Wines</t>
  </si>
  <si>
    <t>Indicates tracking of wines and quantities per customer in joint orders, suggesting a related use case.</t>
  </si>
  <si>
    <t>In such cases, the system must track which wines and quantities have been ordered by each customer.</t>
  </si>
  <si>
    <t>Tracking Customer Orders</t>
  </si>
  <si>
    <t>This segment specifies a system requirement for tracking wines and quantities ordered by each customer, mapping to a use case.</t>
  </si>
  <si>
    <t>Recording Customer Information</t>
  </si>
  <si>
    <t>Recording customer information</t>
  </si>
  <si>
    <t>Recording customer information is a system function and can be depicted as a use case.</t>
  </si>
  <si>
    <t>"For each customer in an order, the system records their ID, name, phone number, delivery address, email, and the date of first contact with the company."</t>
  </si>
  <si>
    <t>G8</t>
  </si>
  <si>
    <t>Customer Information Tracking</t>
  </si>
  <si>
    <t>Details the tracking of customer information for each order, indicating a use case related to customer management.</t>
  </si>
  <si>
    <t>For each customer in an order, the system records their ID, name, phone number, delivery address, email, and the date of first contact with the company.</t>
  </si>
  <si>
    <t>Customer Information Recording</t>
  </si>
  <si>
    <t>The system records customer details for each order, signifying a use case related to data management.</t>
  </si>
  <si>
    <t>Employee Order Privileges (as Customers)</t>
  </si>
  <si>
    <t>Employee orders</t>
  </si>
  <si>
    <t>The ability for employees to order under the same conditions as regular customers is a use case within the system.</t>
  </si>
  <si>
    <t>"Company employees are allowed to order wines under the same conditions as regular customers."</t>
  </si>
  <si>
    <t>G9</t>
  </si>
  <si>
    <t>Employee Order Privileges</t>
  </si>
  <si>
    <t>Indicates that employees can order wines similar to regular customers, implying a generalization relationship.</t>
  </si>
  <si>
    <t>Company employees are allowed to order wines under the same conditions as regular customers.</t>
  </si>
  <si>
    <t>Order Conditions for Employees</t>
  </si>
  <si>
    <t>Company employees may place orders like regular customers. This represents a use case where employee actions mirror customer interactions.</t>
  </si>
  <si>
    <t>Urgent Order Processing</t>
  </si>
  <si>
    <t>Urgent order processing</t>
  </si>
  <si>
    <t>Urgent order processing represents a prioritized use case for handling specific types of orders.</t>
  </si>
  <si>
    <t>"Urgent orders are processed with priority and must be placed by a single customer to ensure prompt delivery. When placing an urgent order, the priority level (a number between 1 and 5) and the expected delivery time must be specified."</t>
  </si>
  <si>
    <t>G10</t>
  </si>
  <si>
    <t>Details urgent order processing as a unique use case with specific conditions.</t>
  </si>
  <si>
    <t>Urgent orders are processed with priority and must be placed by a single customer to ensure prompt delivery.</t>
  </si>
  <si>
    <t>Urgent orders processed with priority represents a special use case within the system, outlining specific functional requirements.</t>
  </si>
  <si>
    <t>Urgent Order Priority and Delivery Time</t>
  </si>
  <si>
    <t>G11</t>
  </si>
  <si>
    <t>Urgent Order Requirements</t>
  </si>
  <si>
    <t>Specifies additional information required for urgent orders, such as priority level and delivery time, suggesting an extension mechanism.</t>
  </si>
  <si>
    <t>When placing an urgent order, the priority level (a number between 1 and 5) and the expected delivery time must be specified.</t>
  </si>
  <si>
    <t>Urgent Order Attributes</t>
  </si>
  <si>
    <t>The attributes for urgent orders, such as priority level and delivery time, constitute part of a use case detailing system requirements.</t>
  </si>
  <si>
    <t>Regular Order Handling</t>
  </si>
  <si>
    <t>Regular order handling</t>
  </si>
  <si>
    <t>Handling regular orders and combining customer selections is a functional requirement depicted as a use case.</t>
  </si>
  <si>
    <t>"Regular orders, on the other hand, allow multiple customers to combine their wine selections into a single order to minimize delivery costs. In such cases, the system tracks the specific wines and quantities ordered by each customer, as well as the main customer who is responsible for the entire order."</t>
  </si>
  <si>
    <t>G12</t>
  </si>
  <si>
    <t>Regular Order Combination</t>
  </si>
  <si>
    <t>Highlights the ability to combine customer orders for regular orders, suggesting a use case for processing these types of orders.</t>
  </si>
  <si>
    <t>Regular orders, on the other hand, allow multiple customers to combine their wine selections into a single order to minimize delivery costs.</t>
  </si>
  <si>
    <t>Regular Order Cost Management</t>
  </si>
  <si>
    <t>Regular orders allow multiple wines in one order to manage costs, corresponding to another functional requirement of the system.</t>
  </si>
  <si>
    <t>Tracking Regular Order Details</t>
  </si>
  <si>
    <t>G13</t>
  </si>
  <si>
    <t>Tracking Regular Orders</t>
  </si>
  <si>
    <t>Indicates the need to track wines and quantities as well as the responsible main customer for regular orders, suggesting a use case.</t>
  </si>
  <si>
    <t>In such cases, the system tracks the specific wines and quantities ordered by each customer, as well as the main customer who is responsible for the entire order.</t>
  </si>
  <si>
    <t>This segment outlines a system requirement to track wines and quantities for a main and other customers in regular orders.</t>
  </si>
  <si>
    <t>Customer Data Consistency Across Order Types</t>
  </si>
  <si>
    <t>Tracking customer details for orders</t>
  </si>
  <si>
    <t>System functionality which records customer details for orders can be represented as a use case.</t>
  </si>
  <si>
    <t>"For every customer included in an urgent or regular order, the system records their ID, name, phone number, delivery address, email, and the date of first contact with the company."</t>
  </si>
  <si>
    <t>G14</t>
  </si>
  <si>
    <t>Customer Information Consistency</t>
  </si>
  <si>
    <t>Restatement of customer information tracking consistency for all orders, reinforcing a use case in customer data management.</t>
  </si>
  <si>
    <t>For every customer included in an urgent or regular order, the system records their ID, name, phone number, delivery address, email, and the date of first contact with the company.</t>
  </si>
  <si>
    <t>Customer Data for Orders</t>
  </si>
  <si>
    <t>Recording customer information for each type of order pertains to a use case about data storage requirements.</t>
  </si>
  <si>
    <t>Employee Order Participation (Reiteration)</t>
  </si>
  <si>
    <t>Employee ordering capability</t>
  </si>
  <si>
    <t>Allows employees to order wines under the same conditions as customers—depicted as a use case.</t>
  </si>
  <si>
    <t>"Company employees may also place orders under the same conditions as regular customers."</t>
  </si>
  <si>
    <t>G15</t>
  </si>
  <si>
    <t>Employee Order Participation</t>
  </si>
  <si>
    <t>Reemphasizes the ability of employees to place orders, suggesting a generalization as customers.</t>
  </si>
  <si>
    <t>Company employees may also place orders under the same conditions as regular customers.</t>
  </si>
  <si>
    <t>Employee Order Permission</t>
  </si>
  <si>
    <t>Employees place orders under similar conditions to customers, reflecting their dual roles in the system.</t>
  </si>
  <si>
    <t>Marketing Department Wine Update Permissions</t>
  </si>
  <si>
    <t>UC: Update Wine Information, Actor: Marketing</t>
  </si>
  <si>
    <t>Marketing department privileges</t>
  </si>
  <si>
    <t>Represents a use case where only marketing department employees are actors who can update wine information.</t>
  </si>
  <si>
    <t>"Only employees in the marketing department are authorized to update wine information and types."</t>
  </si>
  <si>
    <t>G16</t>
  </si>
  <si>
    <t>Wine Information Management</t>
  </si>
  <si>
    <t>Authorizes only marketing employees to update wine information, indicating role-based access within a use case.</t>
  </si>
  <si>
    <t>Only employees in the marketing department are authorized to update wine information and types.</t>
  </si>
  <si>
    <t>Marketing Employee Authorizations</t>
  </si>
  <si>
    <t>Only marketing employees can update wine information, relating to an actor's exclusive responsibility within the system.</t>
  </si>
  <si>
    <t>View-Only Access for Non-Marketing Employees</t>
  </si>
  <si>
    <t>UC: View Wine Information, Actor: Employee</t>
  </si>
  <si>
    <t>Access levels for employees</t>
  </si>
  <si>
    <t>Differentiates actor roles for various employees with respect to accessing and utilizing system functions.</t>
  </si>
  <si>
    <t>"All other employees will have view-only access. For example, sales staff can browse available wines when placing orders for customers."</t>
  </si>
  <si>
    <t>G17</t>
  </si>
  <si>
    <t>Viewing Wine Information</t>
  </si>
  <si>
    <t>States view-only access for other employees, suggesting restricted use case interactions.</t>
  </si>
  <si>
    <t>All other employees will have view-only access.</t>
  </si>
  <si>
    <t>Access Restriction for Employees</t>
  </si>
  <si>
    <t>This segment indicates the system's access permissions for various employees, signifying an actor's limited privileges.</t>
  </si>
  <si>
    <t>Sales Staff Browse Wines (Extend: Place Order)</t>
  </si>
  <si>
    <t>Ext: Place Order-View Wine Information</t>
  </si>
  <si>
    <t>G18</t>
  </si>
  <si>
    <t>Wine Browsing by Sales Staff</t>
  </si>
  <si>
    <t>Allows sales staff to browse wines, indicating a use case for accessing wine data in order placement.</t>
  </si>
  <si>
    <t>For example, sales staff can browse available wines when placing orders for customers.</t>
  </si>
  <si>
    <t>Sales Staff and Order Placement</t>
  </si>
  <si>
    <t>Sales staff browsing the system for available wines aligns with the Actor template as they participate in order placement.</t>
  </si>
  <si>
    <t>Wine Type Identification and Classification</t>
  </si>
  <si>
    <t>Wine type classification</t>
  </si>
  <si>
    <t>Defines the categorization of wines as a system function—depicted as a use case managing wine attributes.</t>
  </si>
  <si>
    <t>"Each type of wine is identified by its name and serial number. Examples of wine types include red, white, sparkling, fortified, rosé, and dessert wines. Additional details for each wine type include food pairings; In addition to the name of the dish, up to 5 links (URLs) to possible recipes will be kept."</t>
  </si>
  <si>
    <t>G19</t>
  </si>
  <si>
    <t>Wine Identification</t>
  </si>
  <si>
    <t>Describes how each wine is identified, relevant to inventory management use cases.</t>
  </si>
  <si>
    <t>Each type of wine is identified by its name and serial number.</t>
  </si>
  <si>
    <t>Wine Type Identification</t>
  </si>
  <si>
    <t>Identifying wine by name and serial number is a part of a use case detailing data management requirements.</t>
  </si>
  <si>
    <t>Wine Type Examples</t>
  </si>
  <si>
    <t>G20</t>
  </si>
  <si>
    <t>Lists examples of wine types, defining part of the domain model relevant to use cases.</t>
  </si>
  <si>
    <t>Examples of wine types include red, white, sparkling, fortified, rosé, and dessert wines.</t>
  </si>
  <si>
    <t>The examples of wine types reflect data management aspects in a use case detailing the categorization of wines.</t>
  </si>
  <si>
    <t>Food Pairing Information for Wine Types</t>
  </si>
  <si>
    <t>G21</t>
  </si>
  <si>
    <t>Food Pairing Information</t>
  </si>
  <si>
    <t>Details additional wine type details including food pairings, suggesting use cases around wine recommendation.</t>
  </si>
  <si>
    <t>Additional details for each wine type include food pairings; In addition to the name of the dish, up to 5 links (URLs) to possible recipes will be kept.</t>
  </si>
  <si>
    <t>Additional Wine Details</t>
  </si>
  <si>
    <t>Food pairings and dishes related to wine types signify a use case requirement where data is captured for types of wines.</t>
  </si>
  <si>
    <t>Recommend Wine Drinking Occasions</t>
  </si>
  <si>
    <t>UC: Recommend Occasions, Actor: Marketing</t>
  </si>
  <si>
    <t>Recommending wine occasions</t>
  </si>
  <si>
    <t>Reflecting the recommendation of occasions suited for wine types can be depicted as a special use case involving marketing employees.</t>
  </si>
  <si>
    <t>"Marketing employees can also recommend occasions suitable for drinking each wine type, providing a general description of the occasion (e.g., marriage proposal, nature hike, cheese night), along with the season and location (indoor/outdoor)."</t>
  </si>
  <si>
    <t>G22</t>
  </si>
  <si>
    <t>Occasion Recommendations</t>
  </si>
  <si>
    <t>Describes how marketing employees recommend occasions, relevant to wine recommendation use cases.</t>
  </si>
  <si>
    <t>Marketing employees can also recommend occasions suitable for drinking each wine type, providing a general description of the occasion (e.g., marriage proposal, nature hike, cheese night), along with the season and location (indoor/outdoor).</t>
  </si>
  <si>
    <t>Recommendations for wine-drinking occasions reflects a use case in providing options based on a wine's data attributes.</t>
  </si>
  <si>
    <t>Monthly Import of Producers and Wines from Gefen</t>
  </si>
  <si>
    <t>UC: Import Producers and Wines, Actor: Gefen</t>
  </si>
  <si>
    <t>Monthly data reception</t>
  </si>
  <si>
    <t>Integrating data from the 'Gefen' system describes an interface use case, demonstrating system boundaries.</t>
  </si>
  <si>
    <t>"At the start of each month, the system will receive XML data from another system, called 'Gefen,' regarding wine producers and the wines they produce."</t>
  </si>
  <si>
    <t>G23</t>
  </si>
  <si>
    <t>Monthly System Updates</t>
  </si>
  <si>
    <t>Mentions monthly XML data updates regarding producers, relevant to updating inventory management use cases.</t>
  </si>
  <si>
    <t>At the start of each month, the system will receive XML data from another system, called "Gefen," regarding wine producers and the wines they produce.</t>
  </si>
  <si>
    <t>Data Integration with Gefen</t>
  </si>
  <si>
    <t>Receiving data from Gefen system indicates a use case scenario of integrating data regarding producers and their wines.</t>
  </si>
  <si>
    <t>Manufacturer Information Storage</t>
  </si>
  <si>
    <t>Manufacturer information storage</t>
  </si>
  <si>
    <t>An operational use case showing how manufacturer information is stored within the system.</t>
  </si>
  <si>
    <t>"For each manufacturer, the system will store the full name, contact phone number, address, and email. A unique automatic identifier is assigned to each new manufacturer."</t>
  </si>
  <si>
    <t>G25</t>
  </si>
  <si>
    <t>Manufacturer Information</t>
  </si>
  <si>
    <t>Stores manufacturer details with unique identification, indicating data management-related use cases.</t>
  </si>
  <si>
    <t>For each manufacturer, the system will store the full name, contact phone number, address, and email. A unique automatic identifier is assigned to each new manufacturer.</t>
  </si>
  <si>
    <t>Storing manufacturer information indicates a use case tied to data management regarding external entities.</t>
  </si>
  <si>
    <t>For each manufacturer, the system will store the full name, contact phone number, address, and email.</t>
  </si>
  <si>
    <t>Wine Data Capture</t>
  </si>
  <si>
    <t>Capturing wine details</t>
  </si>
  <si>
    <t>Detailing wine data entry as a functional use case representing inventory data management.</t>
  </si>
  <si>
    <t>"For each wine, the system will capture the name, description, production year, price per bottle, sweetness level (dry, semi-dry, semi-sweet, sweet), and product image."</t>
  </si>
  <si>
    <t>G26</t>
  </si>
  <si>
    <t>Captures comprehensive wine information, contributing to inventory and marketing-related use cases.</t>
  </si>
  <si>
    <t>For each wine, the system will capture the name, description, production year, price per bottle, sweetness level (dry, semi-dry, semi-sweet, sweet), and product image.</t>
  </si>
  <si>
    <t>G27</t>
  </si>
  <si>
    <t>Wine Data Attributes</t>
  </si>
  <si>
    <t>This segment outlines a use case for the data attributes captured for each wine managed by the system.</t>
  </si>
  <si>
    <t>Wine Distinction Criteria</t>
  </si>
  <si>
    <t>Distinguishing wines</t>
  </si>
  <si>
    <t>A defining feature of the system, depicted as a use case to differentiate wines by multiple identifiers.</t>
  </si>
  <si>
    <t>"Wines are distinguished by their manufacturer number and catalog number."</t>
  </si>
  <si>
    <t>Wine Distinction</t>
  </si>
  <si>
    <t>Differentiates wines by manufacturer and catalog number, crucial for inventory management use cases.</t>
  </si>
  <si>
    <t>Wines are distinguished by their manufacturer number and catalog number.</t>
  </si>
  <si>
    <t>G28</t>
  </si>
  <si>
    <t>The unique identifiers (manufacturer and catalog numbers) for wines describe a use case concerning data uniqueness and management.</t>
  </si>
  <si>
    <t>Wine Type Linking and Modification by Marketing</t>
  </si>
  <si>
    <t>Linking wines to types</t>
  </si>
  <si>
    <t>Defines a use case for categorizing wines according to their type and maintaining related data.</t>
  </si>
  <si>
    <t>"Marketing staff will link wines to their types and can modify price details and product images."</t>
  </si>
  <si>
    <t>Wine Type Linking</t>
  </si>
  <si>
    <t>Indicates that marketing can link wines to types and modify details, relevant for inventory and marketing use cases.</t>
  </si>
  <si>
    <t>Marketing staff will link wines to their types and can modify price details and product images.</t>
  </si>
  <si>
    <t>G29</t>
  </si>
  <si>
    <t>Wine Modifications</t>
  </si>
  <si>
    <t>Linking wines to types and modifying price/images is a use case for marketing interactions with wine data.</t>
  </si>
  <si>
    <t>Manufacturer Unique ID Assignment</t>
  </si>
  <si>
    <t>Manufacturer ID Assignment</t>
  </si>
  <si>
    <t>Assigning automatic identifiers represents a use case about unique identification in data management.</t>
  </si>
  <si>
    <t>A unique automatic identifier is assigned to each new manufacturer.</t>
  </si>
  <si>
    <t>Weekly Wine Quantity Updates from Gefen</t>
  </si>
  <si>
    <t>UC: Import Wine Quantities, Actor: Gefen</t>
  </si>
  <si>
    <t>Wine purchase updates</t>
  </si>
  <si>
    <t>Receiving updates as a system function can be depicted as a utility use case for inventory tracking.</t>
  </si>
  <si>
    <t>"Additionally, weekly updates will be provided on the quantity purchased (each wine is produced by a single manufacturer)."</t>
  </si>
  <si>
    <t>G24</t>
  </si>
  <si>
    <t>Weekly Purchase Updates</t>
  </si>
  <si>
    <t>Describes weekly updates on purchase quantities, indicating a need for persistent data updates in use cases.</t>
  </si>
  <si>
    <t>Additionally, weekly updates will be provided on the quantity purchased (each wine is produced by a single manufacturer).</t>
  </si>
  <si>
    <t>Weekly Stock Update</t>
  </si>
  <si>
    <t>Weekly updates on quantities suggest a use case dedicated to periodic inventory management updates.</t>
  </si>
  <si>
    <t>Wine Storage Location Tracking</t>
  </si>
  <si>
    <t>Storage location tracking</t>
  </si>
  <si>
    <t>A use case describing how the system tracks where each wine is stored based on location data.</t>
  </si>
  <si>
    <t>"Each wine is stored in a specific location (e.g., main refrigerator, cellar), and each storage location has a unique number and name."</t>
  </si>
  <si>
    <t>Wine Storage Location</t>
  </si>
  <si>
    <t>Describes wine storage and identifies each storage location, relevant for tracking inventory use cases.</t>
  </si>
  <si>
    <t>Each wine is stored in a specific location (e.g., main refrigerator, cellar), and each storage location has a unique number and name.</t>
  </si>
  <si>
    <t>G30</t>
  </si>
  <si>
    <t>Storing wines with unique location identifiers reflects a use case related to inventory tracking and management.</t>
  </si>
  <si>
    <t>Inventory Bottle Count Tracking</t>
  </si>
  <si>
    <t>Inventory tracking</t>
  </si>
  <si>
    <t>Describes a use case tracking the inventory levels for different wines across storage locations.</t>
  </si>
  <si>
    <t>"The system tracks the number of bottles of each wine at each storage location (wines may be stored in multiple locations and a single location may store multiple wines)."</t>
  </si>
  <si>
    <t>Bottle Count Tracking</t>
  </si>
  <si>
    <t>Tracks the number of bottles per wine at each location, critical for inventory management use cases.</t>
  </si>
  <si>
    <t>The system tracks the number of bottles of each wine at each storage location (wines may be stored in multiple locations and a single location may store multiple wines).</t>
  </si>
  <si>
    <t>G31</t>
  </si>
  <si>
    <t>Inventory Location Tracking</t>
  </si>
  <si>
    <t>Tracking number of bottles per location represents a use case for dynamic inventory updates based on location.</t>
  </si>
  <si>
    <t>Inventory Update After Sale</t>
  </si>
  <si>
    <t>Inventory update after sales</t>
  </si>
  <si>
    <t>The system must update the inventory as wines are sold, depicted as an operational use case.</t>
  </si>
  <si>
    <t>"As wines are sold only from available stock, inventory must be updated after each sale."</t>
  </si>
  <si>
    <t>Inventory Update Post-Sale</t>
  </si>
  <si>
    <t>Necessitates updating inventory post-sale, establishing a policy and relevant use case.</t>
  </si>
  <si>
    <t>As wines are sold only from available stock, inventory must be updated after each sale.</t>
  </si>
  <si>
    <t>G32</t>
  </si>
  <si>
    <t>Inventory Update after Sale</t>
  </si>
  <si>
    <t>Updating inventory post-sale signifies a use case dedicated to maintaining accurate inventory records.</t>
  </si>
  <si>
    <t>Generate Unproductive Employees Report</t>
  </si>
  <si>
    <t>UC: Generate Unproductive Employees Report, Actor: Sales</t>
  </si>
  <si>
    <t>Generating employee productivity report</t>
  </si>
  <si>
    <t>A use case describing the generation of reports on unproductive employees based on their performance.</t>
  </si>
  <si>
    <t>"The 'Cheers' system will also generate the following reports: (1) Unproductive Employees Report: Generated by a sales employee, this report takes a time period as a parameter and displays the personal information of employees who placed fewer than 2 urgent orders OR fewer than 4 regular orders within that period;"</t>
  </si>
  <si>
    <t>G33</t>
  </si>
  <si>
    <t>Unproductive Employees Report</t>
  </si>
  <si>
    <t>Describes report generation for employee productivity, suggesting a use case for sales performance analysis.</t>
  </si>
  <si>
    <t>(1) Unproductive Employees Report: Generated by a sales employee, this report takes a time period as a parameter and displays the personal information of employees who placed fewer than 2 urgent orders OR fewer than 4 regular orders within that period;</t>
  </si>
  <si>
    <t>Report Generation Overview</t>
  </si>
  <si>
    <t>Indicates report generation as a system function, suggesting various related use cases.</t>
  </si>
  <si>
    <t>The "Cheers" system will also generate the following reports:</t>
  </si>
  <si>
    <t>Report Generation</t>
  </si>
  <si>
    <t>Generating different reports maps to several use cases where system actions fulfill reporting requirements for management.</t>
  </si>
  <si>
    <t>The "Cheers" system will also generate the following reports: (1) Unproductive Employees Report: Generated by a sales employee, this report takes a time period as a parameter and displays the personal information of employees who placed fewer than 2 urgent orders OR fewer than 4 regular orders within that period; (2) Current Inventory Report by Wine: This report provides the inventory levels of all wines and is sent to the Gefen system in JSON format every weekend to assist with restocking preparations; (3) Wine Recommendation Report for Customers: Produced by a sales employee, this report returns a list of available wines that match the customer's preferences based on food, occasion, and wine type.</t>
  </si>
  <si>
    <t>Generate Current Inventory Report</t>
  </si>
  <si>
    <t>UC: Generate Current Inventory Report, Actor: Gefen</t>
  </si>
  <si>
    <t>Inventory report generation for restocking</t>
  </si>
  <si>
    <t>Represents a use case to generate reports on inventory levels and send them in JSON format.</t>
  </si>
  <si>
    <t>"(2) Current Inventory Report by Wine: This report provides the inventory levels of all wines and is sent to the Gefen system in JSON format every weekend to assist with restocking preparations;"</t>
  </si>
  <si>
    <t>G34</t>
  </si>
  <si>
    <t>Current Inventory Report</t>
  </si>
  <si>
    <t>Elaborates on inventory reporting sent to another system, indicating a use case for facilitating restocking.</t>
  </si>
  <si>
    <t>(2) Current Inventory Report by Wine: This report provides the inventory levels of all wines and is sent to the Gefen system in JSON format every weekend to assist with restocking preparations;</t>
  </si>
  <si>
    <t>Generate Wine Recommendation Report</t>
  </si>
  <si>
    <t>UC: Generate Wine Recommendation Report, Actor: Sales</t>
  </si>
  <si>
    <t>Wine recommendation report</t>
  </si>
  <si>
    <t>A use case for generating a wine recommendation report matching customer preferences.</t>
  </si>
  <si>
    <t>"(3) Wine Recommendation Report for Customers: Produced by a sales employee, this report returns a list of available wines that match the customer's preferences based on food, occasion, and wine type."</t>
  </si>
  <si>
    <t>G35</t>
  </si>
  <si>
    <t>Wine Recommendation Report</t>
  </si>
  <si>
    <t>Details the process and criteria for generating wine recommendations for customers.</t>
  </si>
  <si>
    <t>(3) Wine Recommendation Report for Customers: Produced by a sales employee, this report returns a list of available wines that match the customer's preferences based on food, occasion, and wine type.</t>
  </si>
  <si>
    <t>Full</t>
  </si>
  <si>
    <t>Refering to the base system</t>
  </si>
  <si>
    <t>Partially</t>
  </si>
  <si>
    <t>the separation to two Ucs is not clear</t>
  </si>
  <si>
    <t>Wrong</t>
  </si>
  <si>
    <t>GALGALIM is an external system</t>
  </si>
  <si>
    <t>It is part of Place order</t>
  </si>
  <si>
    <t>The major UC</t>
  </si>
  <si>
    <t>There is an elaboration of the special treatmenty</t>
  </si>
  <si>
    <t>No need for such an overview, as they involves different actor</t>
  </si>
  <si>
    <t>explicit need for such a report</t>
  </si>
  <si>
    <t>Internal operation of the system</t>
  </si>
  <si>
    <t>it is not clear who are the actors</t>
  </si>
  <si>
    <t xml:space="preserve">It is an elaboration of the Urget Order </t>
  </si>
  <si>
    <t>The requirement for that is not clear</t>
  </si>
  <si>
    <t>WRONG</t>
  </si>
  <si>
    <t>It stand for the requirement (though redundent)</t>
  </si>
  <si>
    <t>explicit reference for such a requirememt</t>
  </si>
  <si>
    <t>The is a UC that can be triggered by other Ucs.</t>
  </si>
  <si>
    <t>not related to UCD</t>
  </si>
  <si>
    <t>may extend the use case of update wine type</t>
  </si>
  <si>
    <t>explicit requirements</t>
  </si>
  <si>
    <t>No clear who the actors are</t>
  </si>
  <si>
    <t>no related requirements for UC</t>
  </si>
  <si>
    <t>too fined grained operation</t>
  </si>
  <si>
    <t>part of update wine UC</t>
  </si>
  <si>
    <t>Parially</t>
  </si>
  <si>
    <t>Status</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</si>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</sst>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10"/>
      <color rgb="FF222222"/>
      <name val="Arial"/>
      <family val="2"/>
    </font>
    <font>
      <i/>
      <sz val="10"/>
      <color rgb="FFAAAAAA"/>
      <name val="Arial"/>
      <family val="2"/>
    </font>
    <font>
      <sz val="10"/>
      <color rgb="FF222222"/>
      <name val="Arial"/>
      <family val="2"/>
    </font>
  </fonts>
  <fills count="6">
    <fill>
      <patternFill patternType="none"/>
    </fill>
    <fill>
      <patternFill patternType="gray125"/>
    </fill>
    <fill>
      <patternFill patternType="solid">
        <fgColor rgb="FF1B3A5C"/>
      </patternFill>
    </fill>
    <fill>
      <patternFill patternType="solid">
        <fgColor rgb="FFFFFFFF"/>
      </patternFill>
    </fill>
    <fill>
      <patternFill patternType="solid">
        <fgColor rgb="FFF4F4F4"/>
      </patternFill>
    </fill>
    <fill>
      <patternFill patternType="solid">
        <fgColor rgb="FFEBF5FB"/>
      </patternFill>
    </fill>
  </fills>
  <borders count="4">
    <border>
      <left/>
      <right/>
      <top/>
      <bottom/>
      <diagonal/>
    </border>
    <border>
      <left style="medium">
        <color rgb="FFFFFFFF"/>
      </left>
      <right style="medium">
        <color rgb="FFFFFFFF"/>
      </right>
      <top style="thin">
        <color rgb="FFCCCCCC"/>
      </top>
      <bottom style="medium">
        <color rgb="FFFFFFFF"/>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2" fillId="5" borderId="2" xfId="0" applyFont="1" applyFill="1" applyBorder="1" applyAlignment="1">
      <alignment horizontal="center" vertical="top" wrapText="1"/>
    </xf>
    <xf numFmtId="0" fontId="2"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3" fillId="4" borderId="0" xfId="0" applyFont="1" applyFill="1" applyAlignment="1">
      <alignment horizontal="left" vertical="top" wrapText="1"/>
    </xf>
    <xf numFmtId="0" fontId="0" fillId="0" borderId="0" xfId="0" applyAlignment="1">
      <alignment vertical="top" wrapText="1"/>
    </xf>
    <xf numFmtId="0" fontId="4" fillId="0" borderId="3" xfId="0" applyFont="1" applyBorder="1" applyAlignment="1">
      <alignment horizontal="left" vertical="top" wrapText="1"/>
    </xf>
    <xf numFmtId="0" fontId="3" fillId="0" borderId="3" xfId="0" applyFont="1" applyBorder="1" applyAlignment="1">
      <alignment horizontal="left" vertical="top" wrapText="1"/>
    </xf>
    <xf numFmtId="2" fontId="1" fillId="2" borderId="1" xfId="0" applyNumberFormat="1" applyFont="1" applyFill="1" applyBorder="1" applyAlignment="1">
      <alignment horizontal="center" vertical="center" wrapText="1"/>
    </xf>
  </cellXfs>
  <cellStyles count="1">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2"/>
  <sheetViews>
    <sheetView tabSelected="1" workbookViewId="0">
      <pane xSplit="3" ySplit="1" topLeftCell="D2" activePane="bottomRight" state="frozen"/>
      <selection pane="topRight"/>
      <selection pane="bottomLeft"/>
      <selection pane="bottomRight" activeCell="D2" sqref="D2"/>
    </sheetView>
  </sheetViews>
  <sheetFormatPr defaultRowHeight="14.5" x14ac:dyDescent="0.35"/>
  <cols>
    <col min="1" max="1" width="4" customWidth="1"/>
    <col min="2" max="2" width="30" customWidth="1"/>
    <col min="3" max="3" width="36" customWidth="1"/>
    <col min="4" max="4" width="7" customWidth="1"/>
    <col min="5" max="5" width="28" customWidth="1"/>
    <col min="6" max="6" width="44" customWidth="1"/>
    <col min="7" max="7" width="52" customWidth="1"/>
    <col min="8" max="8" width="7" customWidth="1"/>
    <col min="9" max="9" width="28" customWidth="1"/>
    <col min="10" max="10" width="44" customWidth="1"/>
    <col min="11" max="11" width="52" customWidth="1"/>
    <col min="12" max="12" width="7" customWidth="1"/>
    <col min="13" max="13" width="28" customWidth="1"/>
    <col min="14" max="14" width="44" customWidth="1"/>
    <col min="15" max="15" width="52" customWidth="1"/>
    <col min="16" max="16" width="8.7265625" style="11"/>
    <col min="17" max="17" width="52" customWidth="1"/>
    <col min="18" max="18" width="9.36328125" bestFit="1" customWidth="1"/>
  </cols>
  <sheetData>
    <row r="1" spans="1:17" ht="36" customHeight="1" thickBot="1"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366</v>
      </c>
      <c r="Q1" s="2" t="s">
        <v>367</v>
      </c>
    </row>
    <row r="2" spans="1:17" ht="90" customHeight="1" x14ac:dyDescent="0.35">
      <c r="A2" s="3">
        <v>1</v>
      </c>
      <c r="B2" s="4" t="s">
        <v>15</v>
      </c>
      <c r="C2" s="5" t="s">
        <v>16</v>
      </c>
      <c r="D2" s="3" t="s">
        <v>17</v>
      </c>
      <c r="E2" s="6" t="s">
        <v>18</v>
      </c>
      <c r="F2" s="6" t="s">
        <v>19</v>
      </c>
      <c r="G2" s="6" t="s">
        <v>20</v>
      </c>
      <c r="H2" s="3" t="s">
        <v>17</v>
      </c>
      <c r="I2" s="6" t="s">
        <v>21</v>
      </c>
      <c r="J2" s="6" t="s">
        <v>22</v>
      </c>
      <c r="K2" s="6" t="s">
        <v>23</v>
      </c>
      <c r="L2" s="3" t="s">
        <v>17</v>
      </c>
      <c r="M2" s="6" t="s">
        <v>24</v>
      </c>
      <c r="N2" s="6" t="s">
        <v>25</v>
      </c>
      <c r="O2" s="6" t="s">
        <v>23</v>
      </c>
      <c r="P2" s="5" t="s">
        <v>339</v>
      </c>
      <c r="Q2" s="6" t="s">
        <v>340</v>
      </c>
    </row>
    <row r="3" spans="1:17" ht="90" customHeight="1" x14ac:dyDescent="0.35">
      <c r="A3" s="7">
        <v>2</v>
      </c>
      <c r="B3" s="8" t="s">
        <v>26</v>
      </c>
      <c r="C3" s="9" t="s">
        <v>27</v>
      </c>
      <c r="D3" s="7" t="s">
        <v>28</v>
      </c>
      <c r="E3" s="9" t="s">
        <v>29</v>
      </c>
      <c r="F3" s="9" t="s">
        <v>30</v>
      </c>
      <c r="G3" s="9" t="s">
        <v>31</v>
      </c>
      <c r="H3" s="7" t="s">
        <v>28</v>
      </c>
      <c r="I3" s="9" t="s">
        <v>32</v>
      </c>
      <c r="J3" s="9" t="s">
        <v>33</v>
      </c>
      <c r="K3" s="9" t="s">
        <v>34</v>
      </c>
      <c r="L3" s="7" t="s">
        <v>28</v>
      </c>
      <c r="M3" s="9" t="s">
        <v>35</v>
      </c>
      <c r="N3" s="9" t="s">
        <v>36</v>
      </c>
      <c r="O3" s="9" t="s">
        <v>34</v>
      </c>
      <c r="P3" s="9" t="s">
        <v>339</v>
      </c>
      <c r="Q3" s="9" t="s">
        <v>346</v>
      </c>
    </row>
    <row r="4" spans="1:17" ht="90" customHeight="1" x14ac:dyDescent="0.35">
      <c r="A4" s="3">
        <v>3</v>
      </c>
      <c r="B4" s="4" t="s">
        <v>37</v>
      </c>
      <c r="C4" s="6" t="s">
        <v>27</v>
      </c>
      <c r="D4" s="3" t="s">
        <v>38</v>
      </c>
      <c r="E4" s="6" t="s">
        <v>39</v>
      </c>
      <c r="F4" s="6" t="s">
        <v>40</v>
      </c>
      <c r="G4" s="6" t="s">
        <v>41</v>
      </c>
      <c r="H4" s="3" t="s">
        <v>38</v>
      </c>
      <c r="I4" s="6" t="s">
        <v>42</v>
      </c>
      <c r="J4" s="6" t="s">
        <v>43</v>
      </c>
      <c r="K4" s="6" t="s">
        <v>44</v>
      </c>
      <c r="L4" s="3" t="s">
        <v>38</v>
      </c>
      <c r="M4" s="6" t="s">
        <v>45</v>
      </c>
      <c r="N4" s="6" t="s">
        <v>46</v>
      </c>
      <c r="O4" s="6" t="s">
        <v>44</v>
      </c>
      <c r="P4" s="6" t="s">
        <v>341</v>
      </c>
      <c r="Q4" s="6" t="s">
        <v>342</v>
      </c>
    </row>
    <row r="5" spans="1:17" ht="90" customHeight="1" x14ac:dyDescent="0.35">
      <c r="A5" s="7">
        <v>4</v>
      </c>
      <c r="B5" s="8" t="s">
        <v>47</v>
      </c>
      <c r="C5" s="5" t="s">
        <v>16</v>
      </c>
      <c r="D5" s="7" t="s">
        <v>48</v>
      </c>
      <c r="E5" s="9" t="s">
        <v>49</v>
      </c>
      <c r="F5" s="9" t="s">
        <v>50</v>
      </c>
      <c r="G5" s="9" t="s">
        <v>51</v>
      </c>
      <c r="H5" s="7" t="s">
        <v>48</v>
      </c>
      <c r="I5" s="9" t="s">
        <v>52</v>
      </c>
      <c r="J5" s="9" t="s">
        <v>53</v>
      </c>
      <c r="K5" s="9" t="s">
        <v>54</v>
      </c>
      <c r="L5" s="7" t="s">
        <v>48</v>
      </c>
      <c r="M5" s="9" t="s">
        <v>55</v>
      </c>
      <c r="N5" s="9" t="s">
        <v>56</v>
      </c>
      <c r="O5" s="9" t="s">
        <v>54</v>
      </c>
      <c r="P5" s="5" t="s">
        <v>354</v>
      </c>
      <c r="Q5" s="9" t="s">
        <v>344</v>
      </c>
    </row>
    <row r="6" spans="1:17" ht="90" customHeight="1" x14ac:dyDescent="0.35">
      <c r="A6" s="3">
        <v>5</v>
      </c>
      <c r="B6" s="4" t="s">
        <v>57</v>
      </c>
      <c r="C6" s="6" t="s">
        <v>27</v>
      </c>
      <c r="D6" s="3" t="s">
        <v>58</v>
      </c>
      <c r="E6" s="6" t="s">
        <v>59</v>
      </c>
      <c r="F6" s="6" t="s">
        <v>60</v>
      </c>
      <c r="G6" s="6" t="s">
        <v>61</v>
      </c>
      <c r="H6" s="3" t="s">
        <v>58</v>
      </c>
      <c r="I6" s="6" t="s">
        <v>62</v>
      </c>
      <c r="J6" s="6" t="s">
        <v>63</v>
      </c>
      <c r="K6" s="6" t="s">
        <v>64</v>
      </c>
      <c r="L6" s="3" t="s">
        <v>58</v>
      </c>
      <c r="M6" s="6" t="s">
        <v>62</v>
      </c>
      <c r="N6" s="6" t="s">
        <v>65</v>
      </c>
      <c r="O6" s="6" t="s">
        <v>64</v>
      </c>
      <c r="P6" s="6" t="s">
        <v>341</v>
      </c>
      <c r="Q6" s="6" t="s">
        <v>345</v>
      </c>
    </row>
    <row r="7" spans="1:17" ht="90" customHeight="1" x14ac:dyDescent="0.35">
      <c r="A7" s="7">
        <v>6</v>
      </c>
      <c r="B7" s="8" t="s">
        <v>66</v>
      </c>
      <c r="C7" s="9" t="s">
        <v>27</v>
      </c>
      <c r="D7" s="5" t="s">
        <v>16</v>
      </c>
      <c r="E7" s="5" t="s">
        <v>16</v>
      </c>
      <c r="F7" s="5" t="s">
        <v>16</v>
      </c>
      <c r="G7" s="5" t="s">
        <v>16</v>
      </c>
      <c r="H7" s="7" t="s">
        <v>67</v>
      </c>
      <c r="I7" s="9" t="s">
        <v>68</v>
      </c>
      <c r="J7" s="9" t="s">
        <v>69</v>
      </c>
      <c r="K7" s="9" t="s">
        <v>70</v>
      </c>
      <c r="L7" s="7" t="s">
        <v>67</v>
      </c>
      <c r="M7" s="9" t="s">
        <v>66</v>
      </c>
      <c r="N7" s="9" t="s">
        <v>71</v>
      </c>
      <c r="O7" s="9" t="s">
        <v>70</v>
      </c>
      <c r="P7" s="9" t="s">
        <v>341</v>
      </c>
      <c r="Q7" s="9" t="s">
        <v>345</v>
      </c>
    </row>
    <row r="8" spans="1:17" ht="90" customHeight="1" x14ac:dyDescent="0.35">
      <c r="A8" s="3">
        <v>7</v>
      </c>
      <c r="B8" s="4" t="s">
        <v>72</v>
      </c>
      <c r="C8" s="6" t="s">
        <v>27</v>
      </c>
      <c r="D8" s="5" t="s">
        <v>16</v>
      </c>
      <c r="E8" s="5" t="s">
        <v>16</v>
      </c>
      <c r="F8" s="5" t="s">
        <v>16</v>
      </c>
      <c r="G8" s="5" t="s">
        <v>16</v>
      </c>
      <c r="H8" s="3" t="s">
        <v>73</v>
      </c>
      <c r="I8" s="6" t="s">
        <v>74</v>
      </c>
      <c r="J8" s="6" t="s">
        <v>75</v>
      </c>
      <c r="K8" s="6" t="s">
        <v>76</v>
      </c>
      <c r="L8" s="3" t="s">
        <v>73</v>
      </c>
      <c r="M8" s="6" t="s">
        <v>77</v>
      </c>
      <c r="N8" s="6" t="s">
        <v>78</v>
      </c>
      <c r="O8" s="6" t="s">
        <v>76</v>
      </c>
      <c r="P8" s="6" t="s">
        <v>341</v>
      </c>
      <c r="Q8" s="6" t="s">
        <v>345</v>
      </c>
    </row>
    <row r="9" spans="1:17" ht="90" customHeight="1" x14ac:dyDescent="0.35">
      <c r="A9" s="7">
        <v>8</v>
      </c>
      <c r="B9" s="8" t="s">
        <v>79</v>
      </c>
      <c r="C9" s="9" t="s">
        <v>27</v>
      </c>
      <c r="D9" s="7" t="s">
        <v>67</v>
      </c>
      <c r="E9" s="9" t="s">
        <v>80</v>
      </c>
      <c r="F9" s="9" t="s">
        <v>81</v>
      </c>
      <c r="G9" s="9" t="s">
        <v>82</v>
      </c>
      <c r="H9" s="7" t="s">
        <v>83</v>
      </c>
      <c r="I9" s="9" t="s">
        <v>84</v>
      </c>
      <c r="J9" s="9" t="s">
        <v>85</v>
      </c>
      <c r="K9" s="9" t="s">
        <v>86</v>
      </c>
      <c r="L9" s="7" t="s">
        <v>83</v>
      </c>
      <c r="M9" s="9" t="s">
        <v>87</v>
      </c>
      <c r="N9" s="9" t="s">
        <v>88</v>
      </c>
      <c r="O9" s="9" t="s">
        <v>86</v>
      </c>
      <c r="P9" s="9" t="s">
        <v>341</v>
      </c>
      <c r="Q9" s="9" t="s">
        <v>345</v>
      </c>
    </row>
    <row r="10" spans="1:17" ht="90" customHeight="1" x14ac:dyDescent="0.35">
      <c r="A10" s="3">
        <v>9</v>
      </c>
      <c r="B10" s="4" t="s">
        <v>89</v>
      </c>
      <c r="C10" s="6" t="s">
        <v>27</v>
      </c>
      <c r="D10" s="3" t="s">
        <v>73</v>
      </c>
      <c r="E10" s="6" t="s">
        <v>90</v>
      </c>
      <c r="F10" s="6" t="s">
        <v>91</v>
      </c>
      <c r="G10" s="6" t="s">
        <v>92</v>
      </c>
      <c r="H10" s="3" t="s">
        <v>93</v>
      </c>
      <c r="I10" s="6" t="s">
        <v>94</v>
      </c>
      <c r="J10" s="6" t="s">
        <v>95</v>
      </c>
      <c r="K10" s="6" t="s">
        <v>96</v>
      </c>
      <c r="L10" s="3" t="s">
        <v>93</v>
      </c>
      <c r="M10" s="6" t="s">
        <v>97</v>
      </c>
      <c r="N10" s="6" t="s">
        <v>98</v>
      </c>
      <c r="O10" s="6" t="s">
        <v>96</v>
      </c>
      <c r="P10" s="6" t="s">
        <v>339</v>
      </c>
      <c r="Q10" s="6" t="s">
        <v>346</v>
      </c>
    </row>
    <row r="11" spans="1:17" ht="90" customHeight="1" x14ac:dyDescent="0.35">
      <c r="A11" s="7">
        <v>10</v>
      </c>
      <c r="B11" s="8" t="s">
        <v>99</v>
      </c>
      <c r="C11" s="9" t="s">
        <v>27</v>
      </c>
      <c r="D11" s="7" t="s">
        <v>83</v>
      </c>
      <c r="E11" s="9" t="s">
        <v>100</v>
      </c>
      <c r="F11" s="9" t="s">
        <v>101</v>
      </c>
      <c r="G11" s="9" t="s">
        <v>102</v>
      </c>
      <c r="H11" s="7" t="s">
        <v>103</v>
      </c>
      <c r="I11" s="9" t="s">
        <v>99</v>
      </c>
      <c r="J11" s="9" t="s">
        <v>104</v>
      </c>
      <c r="K11" s="9" t="s">
        <v>105</v>
      </c>
      <c r="L11" s="7" t="s">
        <v>103</v>
      </c>
      <c r="M11" s="9" t="s">
        <v>99</v>
      </c>
      <c r="N11" s="9" t="s">
        <v>106</v>
      </c>
      <c r="O11" s="9" t="s">
        <v>105</v>
      </c>
      <c r="P11" s="9" t="s">
        <v>339</v>
      </c>
      <c r="Q11" s="9" t="s">
        <v>347</v>
      </c>
    </row>
    <row r="12" spans="1:17" ht="90" customHeight="1" x14ac:dyDescent="0.35">
      <c r="A12" s="3">
        <v>11</v>
      </c>
      <c r="B12" s="4" t="s">
        <v>107</v>
      </c>
      <c r="C12" s="6" t="s">
        <v>27</v>
      </c>
      <c r="D12" s="5" t="s">
        <v>16</v>
      </c>
      <c r="E12" s="5" t="s">
        <v>16</v>
      </c>
      <c r="F12" s="5" t="s">
        <v>16</v>
      </c>
      <c r="G12" s="5" t="s">
        <v>16</v>
      </c>
      <c r="H12" s="3" t="s">
        <v>108</v>
      </c>
      <c r="I12" s="6" t="s">
        <v>109</v>
      </c>
      <c r="J12" s="6" t="s">
        <v>110</v>
      </c>
      <c r="K12" s="6" t="s">
        <v>111</v>
      </c>
      <c r="L12" s="3" t="s">
        <v>108</v>
      </c>
      <c r="M12" s="6" t="s">
        <v>112</v>
      </c>
      <c r="N12" s="6" t="s">
        <v>113</v>
      </c>
      <c r="O12" s="6" t="s">
        <v>111</v>
      </c>
      <c r="P12" s="6" t="s">
        <v>339</v>
      </c>
      <c r="Q12" s="6" t="s">
        <v>352</v>
      </c>
    </row>
    <row r="13" spans="1:17" ht="90" customHeight="1" x14ac:dyDescent="0.35">
      <c r="A13" s="7">
        <v>12</v>
      </c>
      <c r="B13" s="8" t="s">
        <v>114</v>
      </c>
      <c r="C13" s="9" t="s">
        <v>27</v>
      </c>
      <c r="D13" s="7" t="s">
        <v>93</v>
      </c>
      <c r="E13" s="9" t="s">
        <v>115</v>
      </c>
      <c r="F13" s="9" t="s">
        <v>116</v>
      </c>
      <c r="G13" s="9" t="s">
        <v>117</v>
      </c>
      <c r="H13" s="7" t="s">
        <v>118</v>
      </c>
      <c r="I13" s="9" t="s">
        <v>119</v>
      </c>
      <c r="J13" s="9" t="s">
        <v>120</v>
      </c>
      <c r="K13" s="9" t="s">
        <v>121</v>
      </c>
      <c r="L13" s="7" t="s">
        <v>118</v>
      </c>
      <c r="M13" s="9" t="s">
        <v>122</v>
      </c>
      <c r="N13" s="9" t="s">
        <v>123</v>
      </c>
      <c r="O13" s="9" t="s">
        <v>121</v>
      </c>
      <c r="P13" s="9" t="s">
        <v>339</v>
      </c>
      <c r="Q13" s="9" t="s">
        <v>347</v>
      </c>
    </row>
    <row r="14" spans="1:17" ht="90" customHeight="1" x14ac:dyDescent="0.35">
      <c r="A14" s="3">
        <v>13</v>
      </c>
      <c r="B14" s="4" t="s">
        <v>124</v>
      </c>
      <c r="C14" s="6" t="s">
        <v>27</v>
      </c>
      <c r="D14" s="5" t="s">
        <v>16</v>
      </c>
      <c r="E14" s="5" t="s">
        <v>16</v>
      </c>
      <c r="F14" s="5" t="s">
        <v>16</v>
      </c>
      <c r="G14" s="5" t="s">
        <v>16</v>
      </c>
      <c r="H14" s="3" t="s">
        <v>125</v>
      </c>
      <c r="I14" s="6" t="s">
        <v>126</v>
      </c>
      <c r="J14" s="6" t="s">
        <v>127</v>
      </c>
      <c r="K14" s="6" t="s">
        <v>128</v>
      </c>
      <c r="L14" s="3" t="s">
        <v>125</v>
      </c>
      <c r="M14" s="6" t="s">
        <v>126</v>
      </c>
      <c r="N14" s="6" t="s">
        <v>129</v>
      </c>
      <c r="O14" s="6" t="s">
        <v>128</v>
      </c>
      <c r="P14" s="6" t="s">
        <v>341</v>
      </c>
      <c r="Q14" s="6" t="s">
        <v>353</v>
      </c>
    </row>
    <row r="15" spans="1:17" ht="90" customHeight="1" x14ac:dyDescent="0.35">
      <c r="A15" s="7">
        <v>14</v>
      </c>
      <c r="B15" s="8" t="s">
        <v>130</v>
      </c>
      <c r="C15" s="9" t="s">
        <v>27</v>
      </c>
      <c r="D15" s="7" t="s">
        <v>103</v>
      </c>
      <c r="E15" s="9" t="s">
        <v>131</v>
      </c>
      <c r="F15" s="9" t="s">
        <v>132</v>
      </c>
      <c r="G15" s="9" t="s">
        <v>133</v>
      </c>
      <c r="H15" s="7" t="s">
        <v>134</v>
      </c>
      <c r="I15" s="9" t="s">
        <v>135</v>
      </c>
      <c r="J15" s="9" t="s">
        <v>136</v>
      </c>
      <c r="K15" s="9" t="s">
        <v>137</v>
      </c>
      <c r="L15" s="7" t="s">
        <v>134</v>
      </c>
      <c r="M15" s="9" t="s">
        <v>138</v>
      </c>
      <c r="N15" s="9" t="s">
        <v>139</v>
      </c>
      <c r="O15" s="9" t="s">
        <v>137</v>
      </c>
      <c r="P15" s="9" t="s">
        <v>354</v>
      </c>
      <c r="Q15" s="9" t="s">
        <v>350</v>
      </c>
    </row>
    <row r="16" spans="1:17" ht="90" customHeight="1" x14ac:dyDescent="0.35">
      <c r="A16" s="3">
        <v>15</v>
      </c>
      <c r="B16" s="4" t="s">
        <v>140</v>
      </c>
      <c r="C16" s="6" t="s">
        <v>27</v>
      </c>
      <c r="D16" s="3" t="s">
        <v>108</v>
      </c>
      <c r="E16" s="6" t="s">
        <v>141</v>
      </c>
      <c r="F16" s="6" t="s">
        <v>142</v>
      </c>
      <c r="G16" s="6" t="s">
        <v>143</v>
      </c>
      <c r="H16" s="3" t="s">
        <v>144</v>
      </c>
      <c r="I16" s="6" t="s">
        <v>145</v>
      </c>
      <c r="J16" s="6" t="s">
        <v>146</v>
      </c>
      <c r="K16" s="6" t="s">
        <v>147</v>
      </c>
      <c r="L16" s="3" t="s">
        <v>144</v>
      </c>
      <c r="M16" s="6" t="s">
        <v>148</v>
      </c>
      <c r="N16" s="6" t="s">
        <v>149</v>
      </c>
      <c r="O16" s="6" t="s">
        <v>147</v>
      </c>
      <c r="P16" s="6" t="s">
        <v>339</v>
      </c>
      <c r="Q16" s="6" t="s">
        <v>355</v>
      </c>
    </row>
    <row r="17" spans="1:17" ht="90" customHeight="1" x14ac:dyDescent="0.35">
      <c r="A17" s="7">
        <v>16</v>
      </c>
      <c r="B17" s="8" t="s">
        <v>150</v>
      </c>
      <c r="C17" s="9" t="s">
        <v>151</v>
      </c>
      <c r="D17" s="7" t="s">
        <v>118</v>
      </c>
      <c r="E17" s="9" t="s">
        <v>152</v>
      </c>
      <c r="F17" s="9" t="s">
        <v>153</v>
      </c>
      <c r="G17" s="9" t="s">
        <v>154</v>
      </c>
      <c r="H17" s="7" t="s">
        <v>155</v>
      </c>
      <c r="I17" s="9" t="s">
        <v>156</v>
      </c>
      <c r="J17" s="9" t="s">
        <v>157</v>
      </c>
      <c r="K17" s="9" t="s">
        <v>158</v>
      </c>
      <c r="L17" s="7" t="s">
        <v>155</v>
      </c>
      <c r="M17" s="9" t="s">
        <v>159</v>
      </c>
      <c r="N17" s="9" t="s">
        <v>160</v>
      </c>
      <c r="O17" s="9" t="s">
        <v>158</v>
      </c>
      <c r="P17" s="9" t="s">
        <v>339</v>
      </c>
      <c r="Q17" s="9" t="s">
        <v>356</v>
      </c>
    </row>
    <row r="18" spans="1:17" ht="90" customHeight="1" x14ac:dyDescent="0.35">
      <c r="A18" s="3">
        <v>17</v>
      </c>
      <c r="B18" s="4" t="s">
        <v>161</v>
      </c>
      <c r="C18" s="6" t="s">
        <v>162</v>
      </c>
      <c r="D18" s="3" t="s">
        <v>125</v>
      </c>
      <c r="E18" s="6" t="s">
        <v>163</v>
      </c>
      <c r="F18" s="6" t="s">
        <v>164</v>
      </c>
      <c r="G18" s="6" t="s">
        <v>165</v>
      </c>
      <c r="H18" s="3" t="s">
        <v>166</v>
      </c>
      <c r="I18" s="6" t="s">
        <v>167</v>
      </c>
      <c r="J18" s="6" t="s">
        <v>168</v>
      </c>
      <c r="K18" s="6" t="s">
        <v>169</v>
      </c>
      <c r="L18" s="3" t="s">
        <v>166</v>
      </c>
      <c r="M18" s="6" t="s">
        <v>170</v>
      </c>
      <c r="N18" s="6" t="s">
        <v>171</v>
      </c>
      <c r="O18" s="6" t="s">
        <v>169</v>
      </c>
      <c r="P18" s="6" t="s">
        <v>339</v>
      </c>
      <c r="Q18" s="6" t="s">
        <v>356</v>
      </c>
    </row>
    <row r="19" spans="1:17" ht="90" customHeight="1" x14ac:dyDescent="0.35">
      <c r="A19" s="7">
        <v>18</v>
      </c>
      <c r="B19" s="8" t="s">
        <v>172</v>
      </c>
      <c r="C19" s="9" t="s">
        <v>173</v>
      </c>
      <c r="D19" s="5" t="s">
        <v>16</v>
      </c>
      <c r="E19" s="5" t="s">
        <v>16</v>
      </c>
      <c r="F19" s="5" t="s">
        <v>16</v>
      </c>
      <c r="G19" s="5" t="s">
        <v>16</v>
      </c>
      <c r="H19" s="7" t="s">
        <v>174</v>
      </c>
      <c r="I19" s="9" t="s">
        <v>175</v>
      </c>
      <c r="J19" s="9" t="s">
        <v>176</v>
      </c>
      <c r="K19" s="9" t="s">
        <v>177</v>
      </c>
      <c r="L19" s="7" t="s">
        <v>174</v>
      </c>
      <c r="M19" s="9" t="s">
        <v>178</v>
      </c>
      <c r="N19" s="9" t="s">
        <v>179</v>
      </c>
      <c r="O19" s="9" t="s">
        <v>177</v>
      </c>
      <c r="P19" s="9" t="s">
        <v>339</v>
      </c>
      <c r="Q19" s="9" t="s">
        <v>356</v>
      </c>
    </row>
    <row r="20" spans="1:17" ht="90" customHeight="1" x14ac:dyDescent="0.35">
      <c r="A20" s="3">
        <v>19</v>
      </c>
      <c r="B20" s="4" t="s">
        <v>180</v>
      </c>
      <c r="C20" s="6" t="s">
        <v>162</v>
      </c>
      <c r="D20" s="3" t="s">
        <v>134</v>
      </c>
      <c r="E20" s="6" t="s">
        <v>181</v>
      </c>
      <c r="F20" s="6" t="s">
        <v>182</v>
      </c>
      <c r="G20" s="6" t="s">
        <v>183</v>
      </c>
      <c r="H20" s="3" t="s">
        <v>184</v>
      </c>
      <c r="I20" s="6" t="s">
        <v>185</v>
      </c>
      <c r="J20" s="6" t="s">
        <v>186</v>
      </c>
      <c r="K20" s="6" t="s">
        <v>187</v>
      </c>
      <c r="L20" s="3" t="s">
        <v>184</v>
      </c>
      <c r="M20" s="6" t="s">
        <v>188</v>
      </c>
      <c r="N20" s="6" t="s">
        <v>189</v>
      </c>
      <c r="O20" s="6" t="s">
        <v>187</v>
      </c>
      <c r="P20" s="6" t="s">
        <v>339</v>
      </c>
      <c r="Q20" s="6" t="s">
        <v>357</v>
      </c>
    </row>
    <row r="21" spans="1:17" ht="90" customHeight="1" x14ac:dyDescent="0.35">
      <c r="A21" s="7">
        <v>20</v>
      </c>
      <c r="B21" s="8" t="s">
        <v>190</v>
      </c>
      <c r="C21" s="9" t="s">
        <v>162</v>
      </c>
      <c r="D21" s="5" t="s">
        <v>16</v>
      </c>
      <c r="E21" s="5" t="s">
        <v>16</v>
      </c>
      <c r="F21" s="5" t="s">
        <v>16</v>
      </c>
      <c r="G21" s="5" t="s">
        <v>16</v>
      </c>
      <c r="H21" s="7" t="s">
        <v>191</v>
      </c>
      <c r="I21" s="9" t="s">
        <v>190</v>
      </c>
      <c r="J21" s="9" t="s">
        <v>192</v>
      </c>
      <c r="K21" s="9" t="s">
        <v>193</v>
      </c>
      <c r="L21" s="7" t="s">
        <v>191</v>
      </c>
      <c r="M21" s="9" t="s">
        <v>190</v>
      </c>
      <c r="N21" s="9" t="s">
        <v>194</v>
      </c>
      <c r="O21" s="9" t="s">
        <v>193</v>
      </c>
      <c r="P21" s="9" t="s">
        <v>354</v>
      </c>
      <c r="Q21" s="9" t="s">
        <v>358</v>
      </c>
    </row>
    <row r="22" spans="1:17" ht="90" customHeight="1" x14ac:dyDescent="0.35">
      <c r="A22" s="3">
        <v>21</v>
      </c>
      <c r="B22" s="4" t="s">
        <v>195</v>
      </c>
      <c r="C22" s="6" t="s">
        <v>162</v>
      </c>
      <c r="D22" s="5" t="s">
        <v>16</v>
      </c>
      <c r="E22" s="5" t="s">
        <v>16</v>
      </c>
      <c r="F22" s="5" t="s">
        <v>16</v>
      </c>
      <c r="G22" s="5" t="s">
        <v>16</v>
      </c>
      <c r="H22" s="3" t="s">
        <v>196</v>
      </c>
      <c r="I22" s="6" t="s">
        <v>197</v>
      </c>
      <c r="J22" s="6" t="s">
        <v>198</v>
      </c>
      <c r="K22" s="6" t="s">
        <v>199</v>
      </c>
      <c r="L22" s="3" t="s">
        <v>196</v>
      </c>
      <c r="M22" s="6" t="s">
        <v>200</v>
      </c>
      <c r="N22" s="6" t="s">
        <v>201</v>
      </c>
      <c r="O22" s="6" t="s">
        <v>199</v>
      </c>
      <c r="P22" s="6" t="s">
        <v>341</v>
      </c>
      <c r="Q22" s="6" t="s">
        <v>359</v>
      </c>
    </row>
    <row r="23" spans="1:17" ht="90" customHeight="1" x14ac:dyDescent="0.35">
      <c r="A23" s="7">
        <v>22</v>
      </c>
      <c r="B23" s="8" t="s">
        <v>202</v>
      </c>
      <c r="C23" s="9" t="s">
        <v>203</v>
      </c>
      <c r="D23" s="7" t="s">
        <v>144</v>
      </c>
      <c r="E23" s="9" t="s">
        <v>204</v>
      </c>
      <c r="F23" s="9" t="s">
        <v>205</v>
      </c>
      <c r="G23" s="9" t="s">
        <v>206</v>
      </c>
      <c r="H23" s="7" t="s">
        <v>207</v>
      </c>
      <c r="I23" s="9" t="s">
        <v>208</v>
      </c>
      <c r="J23" s="9" t="s">
        <v>209</v>
      </c>
      <c r="K23" s="9" t="s">
        <v>210</v>
      </c>
      <c r="L23" s="7" t="s">
        <v>207</v>
      </c>
      <c r="M23" s="9" t="s">
        <v>208</v>
      </c>
      <c r="N23" s="9" t="s">
        <v>211</v>
      </c>
      <c r="O23" s="9" t="s">
        <v>210</v>
      </c>
      <c r="P23" s="9" t="s">
        <v>339</v>
      </c>
      <c r="Q23" s="9" t="s">
        <v>360</v>
      </c>
    </row>
    <row r="24" spans="1:17" ht="90" customHeight="1" x14ac:dyDescent="0.35">
      <c r="A24" s="3">
        <v>23</v>
      </c>
      <c r="B24" s="4" t="s">
        <v>212</v>
      </c>
      <c r="C24" s="6" t="s">
        <v>213</v>
      </c>
      <c r="D24" s="3" t="s">
        <v>155</v>
      </c>
      <c r="E24" s="6" t="s">
        <v>214</v>
      </c>
      <c r="F24" s="6" t="s">
        <v>215</v>
      </c>
      <c r="G24" s="6" t="s">
        <v>216</v>
      </c>
      <c r="H24" s="3" t="s">
        <v>217</v>
      </c>
      <c r="I24" s="6" t="s">
        <v>218</v>
      </c>
      <c r="J24" s="6" t="s">
        <v>219</v>
      </c>
      <c r="K24" s="6" t="s">
        <v>220</v>
      </c>
      <c r="L24" s="3" t="s">
        <v>217</v>
      </c>
      <c r="M24" s="6" t="s">
        <v>221</v>
      </c>
      <c r="N24" s="6" t="s">
        <v>222</v>
      </c>
      <c r="O24" s="6" t="s">
        <v>220</v>
      </c>
      <c r="P24" s="6" t="s">
        <v>339</v>
      </c>
      <c r="Q24" s="6" t="s">
        <v>360</v>
      </c>
    </row>
    <row r="25" spans="1:17" ht="90" customHeight="1" x14ac:dyDescent="0.35">
      <c r="A25" s="7">
        <v>24</v>
      </c>
      <c r="B25" s="8" t="s">
        <v>223</v>
      </c>
      <c r="C25" s="9" t="s">
        <v>213</v>
      </c>
      <c r="D25" s="7" t="s">
        <v>174</v>
      </c>
      <c r="E25" s="9" t="s">
        <v>224</v>
      </c>
      <c r="F25" s="9" t="s">
        <v>225</v>
      </c>
      <c r="G25" s="9" t="s">
        <v>226</v>
      </c>
      <c r="H25" s="7" t="s">
        <v>227</v>
      </c>
      <c r="I25" s="9" t="s">
        <v>228</v>
      </c>
      <c r="J25" s="9" t="s">
        <v>229</v>
      </c>
      <c r="K25" s="9" t="s">
        <v>230</v>
      </c>
      <c r="L25" s="7" t="s">
        <v>227</v>
      </c>
      <c r="M25" s="9" t="s">
        <v>223</v>
      </c>
      <c r="N25" s="9" t="s">
        <v>231</v>
      </c>
      <c r="O25" s="9" t="s">
        <v>232</v>
      </c>
      <c r="P25" s="9" t="s">
        <v>341</v>
      </c>
      <c r="Q25" s="9" t="s">
        <v>361</v>
      </c>
    </row>
    <row r="26" spans="1:17" ht="90" customHeight="1" x14ac:dyDescent="0.35">
      <c r="A26" s="3">
        <v>25</v>
      </c>
      <c r="B26" s="4" t="s">
        <v>233</v>
      </c>
      <c r="C26" s="6" t="s">
        <v>213</v>
      </c>
      <c r="D26" s="3" t="s">
        <v>184</v>
      </c>
      <c r="E26" s="6" t="s">
        <v>234</v>
      </c>
      <c r="F26" s="6" t="s">
        <v>235</v>
      </c>
      <c r="G26" s="6" t="s">
        <v>236</v>
      </c>
      <c r="H26" s="3" t="s">
        <v>237</v>
      </c>
      <c r="I26" s="6" t="s">
        <v>233</v>
      </c>
      <c r="J26" s="6" t="s">
        <v>238</v>
      </c>
      <c r="K26" s="6" t="s">
        <v>239</v>
      </c>
      <c r="L26" s="3" t="s">
        <v>240</v>
      </c>
      <c r="M26" s="6" t="s">
        <v>241</v>
      </c>
      <c r="N26" s="6" t="s">
        <v>242</v>
      </c>
      <c r="O26" s="6" t="s">
        <v>239</v>
      </c>
      <c r="P26" s="6" t="s">
        <v>341</v>
      </c>
      <c r="Q26" s="6" t="s">
        <v>364</v>
      </c>
    </row>
    <row r="27" spans="1:17" ht="90" customHeight="1" x14ac:dyDescent="0.35">
      <c r="A27" s="7">
        <v>26</v>
      </c>
      <c r="B27" s="8" t="s">
        <v>243</v>
      </c>
      <c r="C27" s="9" t="s">
        <v>213</v>
      </c>
      <c r="D27" s="7" t="s">
        <v>191</v>
      </c>
      <c r="E27" s="9" t="s">
        <v>244</v>
      </c>
      <c r="F27" s="9" t="s">
        <v>245</v>
      </c>
      <c r="G27" s="9" t="s">
        <v>246</v>
      </c>
      <c r="H27" s="7" t="s">
        <v>240</v>
      </c>
      <c r="I27" s="9" t="s">
        <v>247</v>
      </c>
      <c r="J27" s="9" t="s">
        <v>248</v>
      </c>
      <c r="K27" s="9" t="s">
        <v>249</v>
      </c>
      <c r="L27" s="7" t="s">
        <v>250</v>
      </c>
      <c r="M27" s="9" t="s">
        <v>185</v>
      </c>
      <c r="N27" s="9" t="s">
        <v>251</v>
      </c>
      <c r="O27" s="9" t="s">
        <v>249</v>
      </c>
      <c r="P27" s="9" t="s">
        <v>354</v>
      </c>
      <c r="Q27" s="9" t="s">
        <v>362</v>
      </c>
    </row>
    <row r="28" spans="1:17" ht="90" customHeight="1" x14ac:dyDescent="0.35">
      <c r="A28" s="3">
        <v>27</v>
      </c>
      <c r="B28" s="4" t="s">
        <v>252</v>
      </c>
      <c r="C28" s="6" t="s">
        <v>213</v>
      </c>
      <c r="D28" s="3" t="s">
        <v>196</v>
      </c>
      <c r="E28" s="6" t="s">
        <v>253</v>
      </c>
      <c r="F28" s="6" t="s">
        <v>254</v>
      </c>
      <c r="G28" s="6" t="s">
        <v>255</v>
      </c>
      <c r="H28" s="3" t="s">
        <v>250</v>
      </c>
      <c r="I28" s="6" t="s">
        <v>256</v>
      </c>
      <c r="J28" s="6" t="s">
        <v>257</v>
      </c>
      <c r="K28" s="6" t="s">
        <v>258</v>
      </c>
      <c r="L28" s="3" t="s">
        <v>259</v>
      </c>
      <c r="M28" s="6" t="s">
        <v>260</v>
      </c>
      <c r="N28" s="6" t="s">
        <v>261</v>
      </c>
      <c r="O28" s="6" t="s">
        <v>258</v>
      </c>
      <c r="P28" s="6" t="s">
        <v>354</v>
      </c>
      <c r="Q28" s="6" t="s">
        <v>363</v>
      </c>
    </row>
    <row r="29" spans="1:17" ht="90" customHeight="1" x14ac:dyDescent="0.35">
      <c r="A29" s="7">
        <v>28</v>
      </c>
      <c r="B29" s="8" t="s">
        <v>262</v>
      </c>
      <c r="C29" s="9" t="s">
        <v>213</v>
      </c>
      <c r="D29" s="5" t="s">
        <v>16</v>
      </c>
      <c r="E29" s="5" t="s">
        <v>16</v>
      </c>
      <c r="F29" s="5" t="s">
        <v>16</v>
      </c>
      <c r="G29" s="5" t="s">
        <v>16</v>
      </c>
      <c r="H29" s="5" t="s">
        <v>16</v>
      </c>
      <c r="I29" s="5" t="s">
        <v>16</v>
      </c>
      <c r="J29" s="5" t="s">
        <v>16</v>
      </c>
      <c r="K29" s="5" t="s">
        <v>16</v>
      </c>
      <c r="L29" s="7" t="s">
        <v>237</v>
      </c>
      <c r="M29" s="9" t="s">
        <v>263</v>
      </c>
      <c r="N29" s="9" t="s">
        <v>264</v>
      </c>
      <c r="O29" s="9" t="s">
        <v>265</v>
      </c>
      <c r="P29" s="9" t="s">
        <v>354</v>
      </c>
      <c r="Q29" s="9" t="s">
        <v>363</v>
      </c>
    </row>
    <row r="30" spans="1:17" ht="90" customHeight="1" x14ac:dyDescent="0.35">
      <c r="A30" s="3">
        <v>29</v>
      </c>
      <c r="B30" s="4" t="s">
        <v>266</v>
      </c>
      <c r="C30" s="6" t="s">
        <v>267</v>
      </c>
      <c r="D30" s="3" t="s">
        <v>166</v>
      </c>
      <c r="E30" s="6" t="s">
        <v>268</v>
      </c>
      <c r="F30" s="6" t="s">
        <v>269</v>
      </c>
      <c r="G30" s="6" t="s">
        <v>270</v>
      </c>
      <c r="H30" s="3" t="s">
        <v>271</v>
      </c>
      <c r="I30" s="6" t="s">
        <v>272</v>
      </c>
      <c r="J30" s="6" t="s">
        <v>273</v>
      </c>
      <c r="K30" s="6" t="s">
        <v>274</v>
      </c>
      <c r="L30" s="3" t="s">
        <v>271</v>
      </c>
      <c r="M30" s="6" t="s">
        <v>275</v>
      </c>
      <c r="N30" s="6" t="s">
        <v>276</v>
      </c>
      <c r="O30" s="6" t="s">
        <v>274</v>
      </c>
      <c r="P30" s="6" t="s">
        <v>339</v>
      </c>
      <c r="Q30" s="6" t="s">
        <v>360</v>
      </c>
    </row>
    <row r="31" spans="1:17" ht="90" customHeight="1" x14ac:dyDescent="0.35">
      <c r="A31" s="7">
        <v>30</v>
      </c>
      <c r="B31" s="8" t="s">
        <v>277</v>
      </c>
      <c r="C31" s="5" t="s">
        <v>16</v>
      </c>
      <c r="D31" s="7" t="s">
        <v>207</v>
      </c>
      <c r="E31" s="9" t="s">
        <v>278</v>
      </c>
      <c r="F31" s="9" t="s">
        <v>279</v>
      </c>
      <c r="G31" s="9" t="s">
        <v>280</v>
      </c>
      <c r="H31" s="7" t="s">
        <v>259</v>
      </c>
      <c r="I31" s="9" t="s">
        <v>281</v>
      </c>
      <c r="J31" s="9" t="s">
        <v>282</v>
      </c>
      <c r="K31" s="9" t="s">
        <v>283</v>
      </c>
      <c r="L31" s="7" t="s">
        <v>284</v>
      </c>
      <c r="M31" s="9" t="s">
        <v>281</v>
      </c>
      <c r="N31" s="9" t="s">
        <v>285</v>
      </c>
      <c r="O31" s="9" t="s">
        <v>283</v>
      </c>
      <c r="P31" s="5" t="s">
        <v>341</v>
      </c>
      <c r="Q31" s="9" t="s">
        <v>351</v>
      </c>
    </row>
    <row r="32" spans="1:17" ht="90" customHeight="1" x14ac:dyDescent="0.35">
      <c r="A32" s="3">
        <v>31</v>
      </c>
      <c r="B32" s="4" t="s">
        <v>286</v>
      </c>
      <c r="C32" s="5" t="s">
        <v>16</v>
      </c>
      <c r="D32" s="3" t="s">
        <v>217</v>
      </c>
      <c r="E32" s="6" t="s">
        <v>287</v>
      </c>
      <c r="F32" s="6" t="s">
        <v>288</v>
      </c>
      <c r="G32" s="6" t="s">
        <v>289</v>
      </c>
      <c r="H32" s="3" t="s">
        <v>284</v>
      </c>
      <c r="I32" s="6" t="s">
        <v>290</v>
      </c>
      <c r="J32" s="6" t="s">
        <v>291</v>
      </c>
      <c r="K32" s="6" t="s">
        <v>292</v>
      </c>
      <c r="L32" s="3" t="s">
        <v>293</v>
      </c>
      <c r="M32" s="6" t="s">
        <v>294</v>
      </c>
      <c r="N32" s="6" t="s">
        <v>295</v>
      </c>
      <c r="O32" s="6" t="s">
        <v>292</v>
      </c>
      <c r="P32" s="5" t="s">
        <v>341</v>
      </c>
      <c r="Q32" s="6" t="s">
        <v>351</v>
      </c>
    </row>
    <row r="33" spans="1:18" ht="90" customHeight="1" x14ac:dyDescent="0.35">
      <c r="A33" s="7">
        <v>32</v>
      </c>
      <c r="B33" s="8" t="s">
        <v>296</v>
      </c>
      <c r="C33" s="5" t="s">
        <v>16</v>
      </c>
      <c r="D33" s="7" t="s">
        <v>271</v>
      </c>
      <c r="E33" s="9" t="s">
        <v>297</v>
      </c>
      <c r="F33" s="9" t="s">
        <v>298</v>
      </c>
      <c r="G33" s="9" t="s">
        <v>299</v>
      </c>
      <c r="H33" s="7" t="s">
        <v>293</v>
      </c>
      <c r="I33" s="9" t="s">
        <v>300</v>
      </c>
      <c r="J33" s="9" t="s">
        <v>301</v>
      </c>
      <c r="K33" s="9" t="s">
        <v>302</v>
      </c>
      <c r="L33" s="7" t="s">
        <v>303</v>
      </c>
      <c r="M33" s="9" t="s">
        <v>304</v>
      </c>
      <c r="N33" s="9" t="s">
        <v>305</v>
      </c>
      <c r="O33" s="9" t="s">
        <v>302</v>
      </c>
      <c r="P33" s="12" t="s">
        <v>354</v>
      </c>
      <c r="Q33" s="9" t="s">
        <v>350</v>
      </c>
    </row>
    <row r="34" spans="1:18" ht="90" customHeight="1" x14ac:dyDescent="0.35">
      <c r="A34" s="3">
        <v>33</v>
      </c>
      <c r="B34" s="4" t="s">
        <v>306</v>
      </c>
      <c r="C34" s="6" t="s">
        <v>307</v>
      </c>
      <c r="D34" s="3" t="s">
        <v>227</v>
      </c>
      <c r="E34" s="6" t="s">
        <v>308</v>
      </c>
      <c r="F34" s="6" t="s">
        <v>309</v>
      </c>
      <c r="G34" s="6" t="s">
        <v>310</v>
      </c>
      <c r="H34" s="3" t="s">
        <v>311</v>
      </c>
      <c r="I34" s="6" t="s">
        <v>312</v>
      </c>
      <c r="J34" s="6" t="s">
        <v>313</v>
      </c>
      <c r="K34" s="6" t="s">
        <v>314</v>
      </c>
      <c r="L34" s="5" t="s">
        <v>16</v>
      </c>
      <c r="M34" s="5" t="s">
        <v>16</v>
      </c>
      <c r="N34" s="5" t="s">
        <v>16</v>
      </c>
      <c r="O34" s="5" t="s">
        <v>16</v>
      </c>
      <c r="P34" s="13" t="s">
        <v>339</v>
      </c>
      <c r="Q34" s="5" t="s">
        <v>349</v>
      </c>
    </row>
    <row r="35" spans="1:18" ht="90" customHeight="1" x14ac:dyDescent="0.35">
      <c r="A35" s="7">
        <v>34</v>
      </c>
      <c r="B35" s="8" t="s">
        <v>315</v>
      </c>
      <c r="C35" s="5" t="s">
        <v>16</v>
      </c>
      <c r="D35" s="5" t="s">
        <v>16</v>
      </c>
      <c r="E35" s="5" t="s">
        <v>16</v>
      </c>
      <c r="F35" s="5" t="s">
        <v>16</v>
      </c>
      <c r="G35" s="5" t="s">
        <v>16</v>
      </c>
      <c r="H35" s="7" t="s">
        <v>303</v>
      </c>
      <c r="I35" s="9" t="s">
        <v>315</v>
      </c>
      <c r="J35" s="9" t="s">
        <v>316</v>
      </c>
      <c r="K35" s="9" t="s">
        <v>317</v>
      </c>
      <c r="L35" s="7" t="s">
        <v>311</v>
      </c>
      <c r="M35" s="9" t="s">
        <v>318</v>
      </c>
      <c r="N35" s="9" t="s">
        <v>319</v>
      </c>
      <c r="O35" s="9" t="s">
        <v>320</v>
      </c>
      <c r="P35" s="12" t="s">
        <v>354</v>
      </c>
      <c r="Q35" s="9" t="s">
        <v>348</v>
      </c>
    </row>
    <row r="36" spans="1:18" ht="90" customHeight="1" x14ac:dyDescent="0.35">
      <c r="A36" s="3">
        <v>35</v>
      </c>
      <c r="B36" s="4" t="s">
        <v>321</v>
      </c>
      <c r="C36" s="6" t="s">
        <v>322</v>
      </c>
      <c r="D36" s="3" t="s">
        <v>237</v>
      </c>
      <c r="E36" s="6" t="s">
        <v>323</v>
      </c>
      <c r="F36" s="6" t="s">
        <v>324</v>
      </c>
      <c r="G36" s="6" t="s">
        <v>325</v>
      </c>
      <c r="H36" s="3" t="s">
        <v>326</v>
      </c>
      <c r="I36" s="6" t="s">
        <v>327</v>
      </c>
      <c r="J36" s="6" t="s">
        <v>328</v>
      </c>
      <c r="K36" s="6" t="s">
        <v>329</v>
      </c>
      <c r="L36" s="5" t="s">
        <v>16</v>
      </c>
      <c r="M36" s="5" t="s">
        <v>16</v>
      </c>
      <c r="N36" s="5" t="s">
        <v>16</v>
      </c>
      <c r="O36" s="5" t="s">
        <v>16</v>
      </c>
      <c r="P36" s="13" t="s">
        <v>339</v>
      </c>
      <c r="Q36" s="5" t="s">
        <v>349</v>
      </c>
    </row>
    <row r="37" spans="1:18" ht="90" customHeight="1" x14ac:dyDescent="0.35">
      <c r="A37" s="7">
        <v>36</v>
      </c>
      <c r="B37" s="8" t="s">
        <v>330</v>
      </c>
      <c r="C37" s="9" t="s">
        <v>331</v>
      </c>
      <c r="D37" s="7" t="s">
        <v>240</v>
      </c>
      <c r="E37" s="9" t="s">
        <v>332</v>
      </c>
      <c r="F37" s="9" t="s">
        <v>333</v>
      </c>
      <c r="G37" s="9" t="s">
        <v>334</v>
      </c>
      <c r="H37" s="7" t="s">
        <v>335</v>
      </c>
      <c r="I37" s="9" t="s">
        <v>336</v>
      </c>
      <c r="J37" s="9" t="s">
        <v>337</v>
      </c>
      <c r="K37" s="9" t="s">
        <v>338</v>
      </c>
      <c r="L37" s="5" t="s">
        <v>16</v>
      </c>
      <c r="M37" s="5" t="s">
        <v>16</v>
      </c>
      <c r="N37" s="5" t="s">
        <v>16</v>
      </c>
      <c r="O37" s="5" t="s">
        <v>16</v>
      </c>
      <c r="P37" s="13" t="s">
        <v>339</v>
      </c>
      <c r="Q37" s="5" t="s">
        <v>349</v>
      </c>
    </row>
    <row r="39" spans="1:18" x14ac:dyDescent="0.35">
      <c r="O39" s="10" t="s">
        <v>339</v>
      </c>
      <c r="P39" s="11">
        <f>+COUNTIF(P2:P37,"Full")</f>
        <v>17</v>
      </c>
      <c r="Q39" s="10">
        <v>1</v>
      </c>
      <c r="R39">
        <f>+P39</f>
        <v>17</v>
      </c>
    </row>
    <row r="40" spans="1:18" x14ac:dyDescent="0.35">
      <c r="O40" s="10" t="s">
        <v>365</v>
      </c>
      <c r="P40" s="11">
        <f>+COUNTIF(P2:P37,"Partially")</f>
        <v>11</v>
      </c>
      <c r="Q40" s="10">
        <v>0.75</v>
      </c>
      <c r="R40">
        <f>+Q40*P40</f>
        <v>8.25</v>
      </c>
    </row>
    <row r="41" spans="1:18" x14ac:dyDescent="0.35">
      <c r="O41" s="10" t="s">
        <v>343</v>
      </c>
      <c r="P41" s="11">
        <f>+COUNTIF(P2:P37,"WRONG")</f>
        <v>8</v>
      </c>
      <c r="Q41" s="10"/>
    </row>
    <row r="42" spans="1:18" ht="15" thickBot="1" x14ac:dyDescent="0.4">
      <c r="P42" s="11">
        <f>SUM(P39:P41)</f>
        <v>36</v>
      </c>
      <c r="R42" s="14">
        <f>SUM(R39:R41)/P42</f>
        <v>0.70138888888888884</v>
      </c>
    </row>
  </sheetData>
  <conditionalFormatting sqref="P33:P1048576">
    <cfRule type="cellIs" dxfId="2" priority="4" operator="equal">
      <formula>"Full"</formula>
    </cfRule>
    <cfRule type="cellIs" dxfId="1" priority="5" operator="equal">
      <formula>"Partially"</formula>
    </cfRule>
    <cfRule type="cellIs" dxfId="0" priority="6" operator="equal">
      <formula>"WRONG"</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Guideline 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2026-03-29T03:08:52Z</dcterms:created>
  <dcterms:modified xsi:type="dcterms:W3CDTF">2026-03-29T03:08:58Z</dcterms:modified>
</cp:coreProperties>
</file>