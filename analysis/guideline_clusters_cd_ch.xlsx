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71E9480E-8C33-4334-A7CC-9401CEA2426E}" xr6:coauthVersionLast="47" xr6:coauthVersionMax="47" xr10:uidLastSave="{00000000-0000-0000-0000-000000000000}"/>
  <bookViews>
    <workbookView xWindow="-110" yWindow="-110" windowWidth="19420" windowHeight="11500" xr2:uid="{00000000-000D-0000-FFFF-FFFF00000000}"/>
  </bookViews>
  <sheets>
    <sheet name="Guideline Clust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49" i="1" l="1"/>
  <c r="P48" i="1"/>
  <c r="R48" i="1" s="1"/>
  <c r="P47" i="1"/>
  <c r="P50" i="1" l="1"/>
  <c r="R47" i="1"/>
  <c r="R50" i="1" l="1"/>
</calcChain>
</file>

<file path=xl/sharedStrings.xml><?xml version="1.0" encoding="utf-8"?>
<sst xmlns="http://schemas.openxmlformats.org/spreadsheetml/2006/main" count="717" uniqueCount="356">
  <si>
    <t>#</t>
  </si>
  <si>
    <t>Cluster Name</t>
  </si>
  <si>
    <t>Base Element</t>
  </si>
  <si>
    <t>Run 1
ID</t>
  </si>
  <si>
    <t>Run 1
Guideline Name</t>
  </si>
  <si>
    <t>Run 1
Description</t>
  </si>
  <si>
    <t>Run 1
Citation</t>
  </si>
  <si>
    <t>Run 2
ID</t>
  </si>
  <si>
    <t>Run 2
Guideline Name</t>
  </si>
  <si>
    <t>Run 2
Description</t>
  </si>
  <si>
    <t>Run 2
Citation</t>
  </si>
  <si>
    <t>Run 3
ID</t>
  </si>
  <si>
    <t>Run 3
Guideline Name</t>
  </si>
  <si>
    <t>Run 3
Description</t>
  </si>
  <si>
    <t>Run 3
Citation</t>
  </si>
  <si>
    <t>System Overview</t>
  </si>
  <si>
    <t>null</t>
  </si>
  <si>
    <t>G1</t>
  </si>
  <si>
    <t>Cheers System Description</t>
  </si>
  <si>
    <t>Defines the 'Cheers' system which is developed by 'Wine Ha'Emek' for managing business operations.</t>
  </si>
  <si>
    <t>"The 'Cheers' system is being developed by 'Wine Ha'Emek,' a wine trading company, to manage key business operations, including inventory management, customer management, and order processing and delivery."</t>
  </si>
  <si>
    <t>This segment outlines the general purpose of the 'Cheers' system and the business operations it manages.</t>
  </si>
  <si>
    <t>The "Cheers" system is being developed by "Wine Ha'Emek," a wine trading company, to manage key business operations, including inventory management, customer management, and order processing and delivery.</t>
  </si>
  <si>
    <t>This segment describes the high-level purpose of the Cheers system and the main business operations it manages. It establishes the overview of the Cheers system as a context for understanding the classes that will structure the system's operations.</t>
  </si>
  <si>
    <t>Sales Staff Order Assignment</t>
  </si>
  <si>
    <t>A: Order-Employee</t>
  </si>
  <si>
    <t>G2</t>
  </si>
  <si>
    <t>Sales Staff Responsibilities</t>
  </si>
  <si>
    <t>Describes the responsibility of sales staff in placing customer orders.</t>
  </si>
  <si>
    <t>"The sales staff are responsible for placing customer orders, with each order being assigned to a specific employee."</t>
  </si>
  <si>
    <t>Sales Staff Responsibility</t>
  </si>
  <si>
    <t>This segment describes the relationship between the sales staff and customer orders.</t>
  </si>
  <si>
    <t>The sales staff are responsible for placing customer orders, with each order being assigned to a specific employee.</t>
  </si>
  <si>
    <t>Order Assignment</t>
  </si>
  <si>
    <t>This segment explains that sales staff are responsible for assigning orders to employees, suggesting a relationship between Order and Employee classes.</t>
  </si>
  <si>
    <t>Order Attributes</t>
  </si>
  <si>
    <t>C: Order</t>
  </si>
  <si>
    <t>G3</t>
  </si>
  <si>
    <t>Details attributes related to orders including categorization and order details.</t>
  </si>
  <si>
    <t>"Orders can be categorized as either regular or urgent and include the following details: order number, order date, current status (in process, dispatched, delivered, paid, suspended, or canceled), shipment date, and the assigned employee's information (ID, name, phone number, office address, email, and employment start date)."</t>
  </si>
  <si>
    <t>Order Details</t>
  </si>
  <si>
    <t>This segment lists the attributes associated with orders.</t>
  </si>
  <si>
    <t>Orders can be categorized as either regular or urgent and include the following details: order number, order date, current status (in process, dispatched, delivered, paid, suspended, or canceled), shipment date, and the assigned employee's information (ID, name, phone number, office address, email, and employment start date).</t>
  </si>
  <si>
    <t>Details various attributes of the Order class, including the order category, order number, dates, employee information, etc.</t>
  </si>
  <si>
    <t>Order Status Enumeration</t>
  </si>
  <si>
    <t>E: Order Status</t>
  </si>
  <si>
    <t>External Delivery Management</t>
  </si>
  <si>
    <t>G4</t>
  </si>
  <si>
    <t>External Company for Delivery</t>
  </si>
  <si>
    <t>Mentions the external company's responsibility in actual delivery which is outside of current system scope.</t>
  </si>
  <si>
    <t>"The actual delivery of orders is managed by an external company, called 'GalGalim,' and falls outside the scope of the current system."</t>
  </si>
  <si>
    <t>This segment indicates a dependency on an external company for order delivery.</t>
  </si>
  <si>
    <t>The actual delivery of orders is managed by an external company, called "GalGalim," and falls outside the scope of the current system.</t>
  </si>
  <si>
    <t>Indicates that the delivery aspect of orders is managed by an external company and not by the system itself, suggesting a dependency on an external system.</t>
  </si>
  <si>
    <t>Order and Wine Composition</t>
  </si>
  <si>
    <t>G5</t>
  </si>
  <si>
    <t>Order Composition</t>
  </si>
  <si>
    <t>Discusses how orders may consist of multiple wines in different quantities and joint orders for minimizing delivery costs.</t>
  </si>
  <si>
    <t>"Orders may consist of multiple wines in different quantities. To minimize delivery costs, customers can place joint orders. In such cases, the system must track which wines and quantities have been ordered by each customer."</t>
  </si>
  <si>
    <t>Describes that orders can be composed of multiple wines.</t>
  </si>
  <si>
    <t>Orders may consist of multiple wines in different quantities.</t>
  </si>
  <si>
    <t>Indicates that an order is composed of multiple wines in different quantities.</t>
  </si>
  <si>
    <t>Joint Orders</t>
  </si>
  <si>
    <t>A: Regular Order-Customer</t>
  </si>
  <si>
    <t>G6</t>
  </si>
  <si>
    <t>Describes how customers can place joint orders to minimize delivery costs.</t>
  </si>
  <si>
    <t>To minimize delivery costs, customers can place joint orders.</t>
  </si>
  <si>
    <t>Describes joint order functionality to minimize delivery costs, suggesting an association between orders and customers.</t>
  </si>
  <si>
    <t>Tracking Customer Orders in Joint Orders</t>
  </si>
  <si>
    <t>AC: Regular Order - Wine - Customer</t>
  </si>
  <si>
    <t>G7</t>
  </si>
  <si>
    <t>Tracking Joint Orders</t>
  </si>
  <si>
    <t>The system tracks which wines and quantities have been ordered by each customer in joint orders.</t>
  </si>
  <si>
    <t>In such cases, the system must track which wines and quantities have been ordered by each customer.</t>
  </si>
  <si>
    <t>Customer Order Tracking</t>
  </si>
  <si>
    <t>Indicates that the system tracks the wines and quantities for each customer in a joint order.</t>
  </si>
  <si>
    <t>Customer Attributes in Order</t>
  </si>
  <si>
    <t>C: Customer</t>
  </si>
  <si>
    <t>Specifies the attributes recorded for customers when they are involved in an order.</t>
  </si>
  <si>
    <t>"For each customer in an order, the system records their ID, name, phone number, delivery address, email, and the date of first contact with the company."</t>
  </si>
  <si>
    <t>G8</t>
  </si>
  <si>
    <t>Customer Information Recording</t>
  </si>
  <si>
    <t>This segment lists the attributes of customer information recorded by the system.</t>
  </si>
  <si>
    <t>For each customer in an order, the system records their ID, name, phone number, delivery address, email, and the date of first contact with the company.</t>
  </si>
  <si>
    <t>Customer Attributes</t>
  </si>
  <si>
    <t>Details the attributes of a Customer that the system records when placing an order.</t>
  </si>
  <si>
    <t>Employee Ordering Conditions</t>
  </si>
  <si>
    <t>I: Customer + Employee</t>
  </si>
  <si>
    <t>Indicates that company employees can order wines like regular customers.</t>
  </si>
  <si>
    <t>"Company employees are allowed to order wines under the same conditions as regular customers."</t>
  </si>
  <si>
    <t>G9</t>
  </si>
  <si>
    <t>Employee Orders</t>
  </si>
  <si>
    <t>Indicates that company employees can order wines under the same conditions as regular customers.</t>
  </si>
  <si>
    <t>Company employees are allowed to order wines under the same conditions as regular customers.</t>
  </si>
  <si>
    <t>Employee Order Privileges</t>
  </si>
  <si>
    <t>States that company employees have the same ordering capabilities as customers.</t>
  </si>
  <si>
    <t>Urgent Order Processing</t>
  </si>
  <si>
    <t>C: Urgent Order</t>
  </si>
  <si>
    <t>Describes processing conditions for urgent orders.</t>
  </si>
  <si>
    <t>"Urgent orders are processed with priority and must be placed by a single customer to ensure prompt delivery."</t>
  </si>
  <si>
    <t>G10</t>
  </si>
  <si>
    <t>Urgent Orders</t>
  </si>
  <si>
    <t>Urgent orders must be placed by a single customer and processed with priority.</t>
  </si>
  <si>
    <t>Urgent orders are processed with priority and must be placed by a single customer to ensure prompt delivery.</t>
  </si>
  <si>
    <t>Indicates that urgent orders are processed with priority and must be individual orders.</t>
  </si>
  <si>
    <t>Urgent Order Priority and Delivery Time</t>
  </si>
  <si>
    <t>A: Urgent Order-Customer</t>
  </si>
  <si>
    <t>Urgent Order Priority and Delivery</t>
  </si>
  <si>
    <t>Specifies details about placing an urgent order with priority level and expected delivery time.</t>
  </si>
  <si>
    <t>"When placing an urgent order, the priority level (a number between 1 and 5) and the expected delivery time must be specified."</t>
  </si>
  <si>
    <t>G11</t>
  </si>
  <si>
    <t>Urgent Order Specifications</t>
  </si>
  <si>
    <t>Requires urgent orders to specify priority level and expected delivery time.</t>
  </si>
  <si>
    <t>When placing an urgent order, the priority level (a number between 1 and 5) and the expected delivery time must be specified.</t>
  </si>
  <si>
    <t>Urgent Order Details</t>
  </si>
  <si>
    <t>Details the attributes specific to urgent orders, including priority level and expected delivery time.</t>
  </si>
  <si>
    <t>Regular Order Conditions</t>
  </si>
  <si>
    <t>C: Regular Order</t>
  </si>
  <si>
    <t>Explains the conditions under which regular orders are allowed.</t>
  </si>
  <si>
    <t>"Regular orders, on the other hand, allow multiple customers to combine their wine selections into a single order to minimize delivery costs."</t>
  </si>
  <si>
    <t>G12</t>
  </si>
  <si>
    <t>Regular Orders</t>
  </si>
  <si>
    <t>Regular orders allow multiple customers to combine wine selections.</t>
  </si>
  <si>
    <t>Regular orders, on the other hand, allow multiple customers to combine their wine selections into a single order to minimize delivery costs.</t>
  </si>
  <si>
    <t>Regular Order Composition</t>
  </si>
  <si>
    <t>Describes the composition of regular orders, allowing multiple customers to combine selections.</t>
  </si>
  <si>
    <t>Tracking in Regular Orders</t>
  </si>
  <si>
    <t>Regular Order Details Tracking</t>
  </si>
  <si>
    <t>Details the tracking responsibilities for specific wines and quantities in regular orders.</t>
  </si>
  <si>
    <t>"In such cases, the system tracks the specific wines and quantities ordered by each customer, as well as the main customer who is responsible for the entire order."</t>
  </si>
  <si>
    <t>G13</t>
  </si>
  <si>
    <t>Tracking Regular Orders</t>
  </si>
  <si>
    <t>Tracks wines and quantities for regular orders and identifies the main customer.</t>
  </si>
  <si>
    <t>In such cases, the system tracks the specific wines and quantities ordered by each customer, as well as the main customer who is responsible for the entire order.</t>
  </si>
  <si>
    <t>Explains how the system tracks customer specifics in regular orders, including the main customer's responsibility.</t>
  </si>
  <si>
    <t>Customer Data for All Order Types</t>
  </si>
  <si>
    <t>Shared Conditions for Regular and Urgent Orders</t>
  </si>
  <si>
    <t>Reiterates customer attributes recorded for both urgent and regular orders.</t>
  </si>
  <si>
    <t>"For every customer included in an urgent or regular order, the system records their ID, name, phone number, delivery address, email, and the date of first contact with the company. Company employees may also place orders under the same conditions as regular customers."</t>
  </si>
  <si>
    <t>G14</t>
  </si>
  <si>
    <t>Customer Information for All Orders</t>
  </si>
  <si>
    <t>Attributes recorded for customers in any order type.</t>
  </si>
  <si>
    <t>For every customer included in an urgent or regular order, the system records their ID, name, phone number, delivery address, email, and the date of first contact with the company.</t>
  </si>
  <si>
    <t>Customer Data in Orders</t>
  </si>
  <si>
    <t>Reiterates how customer data is recorded per order, similar to segment 8.</t>
  </si>
  <si>
    <t>Employee Ordering Mirroring Customer Conditions</t>
  </si>
  <si>
    <t>G15</t>
  </si>
  <si>
    <t>Employee Order Conditions</t>
  </si>
  <si>
    <t>Employee orders under the same conditions as regular customers.</t>
  </si>
  <si>
    <t>Company employees may also place orders under the same conditions as regular customers.</t>
  </si>
  <si>
    <t>States that employees' ordering capabilities mirror those of customers.</t>
  </si>
  <si>
    <t>Inheritance: Order - Urgent Order</t>
  </si>
  <si>
    <t>I: Order - Urgent Order</t>
  </si>
  <si>
    <t>Inheritance: Order - Regular Order</t>
  </si>
  <si>
    <t>I: Order - Regular Order</t>
  </si>
  <si>
    <t>Employee Class</t>
  </si>
  <si>
    <t>C: Employee</t>
  </si>
  <si>
    <t>Marketing Department Permissions</t>
  </si>
  <si>
    <t>Wine Information Update Authorization</t>
  </si>
  <si>
    <t>Defines the role of marketing employees in updating wine information and types.</t>
  </si>
  <si>
    <t>"Only employees in the marketing department are authorized to update wine information and types. All other employees will have view-only access."</t>
  </si>
  <si>
    <t>G16</t>
  </si>
  <si>
    <t>Only marketing employees can update wine information and types.</t>
  </si>
  <si>
    <t>Only employees in the marketing department are authorized to update wine information and types.</t>
  </si>
  <si>
    <t>Marketing Employee Privileges</t>
  </si>
  <si>
    <t>Outlines the privileges of marketing employees to update wine information.</t>
  </si>
  <si>
    <t>View-Only Access for Non-Marketing</t>
  </si>
  <si>
    <t>G17</t>
  </si>
  <si>
    <t>View-only Access</t>
  </si>
  <si>
    <t>Non-marketing employees have view-only access.</t>
  </si>
  <si>
    <t>All other employees will have view-only access.</t>
  </si>
  <si>
    <t>View-Only Access</t>
  </si>
  <si>
    <t>States that other employees have view-only access to wine data.</t>
  </si>
  <si>
    <t>Sales Staff Wine Browsing</t>
  </si>
  <si>
    <t>Wine Browsing by Sales Staff</t>
  </si>
  <si>
    <t>Describes the ability of sales staff to browse available wines.</t>
  </si>
  <si>
    <t>"For example, sales staff can browse available wines when placing orders for customers."</t>
  </si>
  <si>
    <t>G18</t>
  </si>
  <si>
    <t>Sales Staff Access</t>
  </si>
  <si>
    <t>Sales staff can browse wines for ordering.</t>
  </si>
  <si>
    <t>For example, sales staff can browse available wines when placing orders for customers.</t>
  </si>
  <si>
    <t>Indicates sales staff can browse wines when ordering, implying a viewing permission.</t>
  </si>
  <si>
    <t>Sales staff can browse available wines when placing orders for customers.</t>
  </si>
  <si>
    <t>Wine Type Identification</t>
  </si>
  <si>
    <t>C: Wine Type</t>
  </si>
  <si>
    <t>Identifies how each type of wine is marked within the system.</t>
  </si>
  <si>
    <t>"Each type of wine is identified by its name and serial number."</t>
  </si>
  <si>
    <t>G19</t>
  </si>
  <si>
    <t>Wine Identification</t>
  </si>
  <si>
    <t>Wines are identified by name and serial number.</t>
  </si>
  <si>
    <t>Each type of wine is identified by its name and serial number.</t>
  </si>
  <si>
    <t>Discusses how wine types are identified in the system using unique identifiers.</t>
  </si>
  <si>
    <t>Wine Type Examples</t>
  </si>
  <si>
    <t>Wine Types and Details</t>
  </si>
  <si>
    <t>Lists examples of wine types and details associated with each type including food pairings and recipes.</t>
  </si>
  <si>
    <t>"Examples of wine types include red, white, sparkling, fortified, rosé, and dessert wines. Additional details for each wine type include food pairings; In addition to the name of the dish, up to 5 links (URLs) to possible recipes will be kept."</t>
  </si>
  <si>
    <t>G20</t>
  </si>
  <si>
    <t>Examples of different types of wine.</t>
  </si>
  <si>
    <t>Examples of wine types include red, white, sparkling, fortified, rosé, and dessert wines.</t>
  </si>
  <si>
    <t>Provides examples of wine types, indicating different categorization.</t>
  </si>
  <si>
    <t>Wine Type Food Pairings</t>
  </si>
  <si>
    <t>C: Food</t>
  </si>
  <si>
    <t>G21</t>
  </si>
  <si>
    <t>Wine Type Details</t>
  </si>
  <si>
    <t>Details for each wine type, including food pairings and recipe links.</t>
  </si>
  <si>
    <t>Additional details for each wine type include food pairings; In addition to the name of the dish, up to 5 links (URLs) to possible recipes will be kept.</t>
  </si>
  <si>
    <t>Wine Type Attributes</t>
  </si>
  <si>
    <t>Describes attributes related to wine types, like food pairings and recipe links.</t>
  </si>
  <si>
    <t>Food - Wine Type Association</t>
  </si>
  <si>
    <t>A: Food - Wine Type</t>
  </si>
  <si>
    <t>Occasion Recommendations for Wines</t>
  </si>
  <si>
    <t>C: Occasion</t>
  </si>
  <si>
    <t>Explains how marketing employees provide occasion recommendations for each wine type.</t>
  </si>
  <si>
    <t>"Marketing employees can also recommend occasions suitable for drinking each wine type, providing a general description of the occasion (e.g., marriage proposal, nature hike, cheese night), along with the season and location (indoor/outdoor)."</t>
  </si>
  <si>
    <t>G22</t>
  </si>
  <si>
    <t>Occasion Recommendations</t>
  </si>
  <si>
    <t>Marketing employees recommend occasions for wine types.</t>
  </si>
  <si>
    <t>Marketing employees can also recommend occasions suitable for drinking each wine type, providing a general description of the occasion (e.g., marriage proposal, nature hike, cheese night), along with the season and location (indoor/outdoor).</t>
  </si>
  <si>
    <t>Wine Occasion Recommendations</t>
  </si>
  <si>
    <t>Indicates marketing employees can suggest occasions for each wine type.</t>
  </si>
  <si>
    <t>Wine Type - Occasion Association</t>
  </si>
  <si>
    <t>A: Wine Type - Occasion</t>
  </si>
  <si>
    <t>Occasion Location Enumeration</t>
  </si>
  <si>
    <t>E: Location</t>
  </si>
  <si>
    <t>Wine Producer Data Updates from Gefen</t>
  </si>
  <si>
    <t>C: Manufacturer</t>
  </si>
  <si>
    <t>Wine Producer Data Updates</t>
  </si>
  <si>
    <t>Mentions the monthly XML data reception from Gefen detailing producers and wine production.</t>
  </si>
  <si>
    <t>"At the start of each month, the system will receive XML data from another system, called 'Gefen,' regarding wine producers and the wines they produce. Additionally, weekly updates will be provided on the quantity purchased (each wine is produced by a single manufacturer)."</t>
  </si>
  <si>
    <t>G23</t>
  </si>
  <si>
    <t>Wine Producer Information</t>
  </si>
  <si>
    <t>System receives monthly data on wine producers from 'Gefen'.</t>
  </si>
  <si>
    <t>At the start of each month, the system will receive XML data from another system, called "Gefen," regarding wine producers and the wines they produce.</t>
  </si>
  <si>
    <t>Data Integration with Gefen</t>
  </si>
  <si>
    <t>Describes data integration from external system Gefen for wine and producer data.</t>
  </si>
  <si>
    <t>Weekly Wine Quantity Updates</t>
  </si>
  <si>
    <t>A: Wine - Manufacturer</t>
  </si>
  <si>
    <t>G24</t>
  </si>
  <si>
    <t>Weekly Purchase Updates</t>
  </si>
  <si>
    <t>Weekly updates on wine quantity purchased by manufacturer.</t>
  </si>
  <si>
    <t>Additionally, weekly updates will be provided on the quantity purchased (each wine is produced by a single manufacturer).</t>
  </si>
  <si>
    <t>Wine Quantity Updates</t>
  </si>
  <si>
    <t>States that weekly updates on the purchased quantities of wine are provided.</t>
  </si>
  <si>
    <t>Manufacturer Information Storage</t>
  </si>
  <si>
    <t>Explains how the system stores details about each manufacturer and assigns unique identifiers.</t>
  </si>
  <si>
    <t>"For each manufacturer, the system will store the full name, contact phone number, address, and email. A unique automatic identifier is assigned to each new manufacturer."</t>
  </si>
  <si>
    <t>G25</t>
  </si>
  <si>
    <t>Attributes stored for each wine manufacturer.</t>
  </si>
  <si>
    <t>For each manufacturer, the system will store the full name, contact phone number, address, and email.</t>
  </si>
  <si>
    <t>Manufacturer Attributes</t>
  </si>
  <si>
    <t>Lists attributes related to wine manufacturers stored in the system.</t>
  </si>
  <si>
    <t>Manufacturer Unique Identifier</t>
  </si>
  <si>
    <t>G26</t>
  </si>
  <si>
    <t>Manufacturer Identifier</t>
  </si>
  <si>
    <t>Each manufacturer is assigned a unique identifier.</t>
  </si>
  <si>
    <t>A unique automatic identifier is assigned to each new manufacturer.</t>
  </si>
  <si>
    <t>Manufacturer Identification</t>
  </si>
  <si>
    <t>Describes the unique identifier assignment to new manufacturers.</t>
  </si>
  <si>
    <t>Wine Attribute Capture</t>
  </si>
  <si>
    <t>C: Wine</t>
  </si>
  <si>
    <t>Describes the set of attributes captured for each wine by the system.</t>
  </si>
  <si>
    <t>"For each wine, the system will capture the name, description, production year, price per bottle, sweetness level (dry, semi-dry, semi-sweet, sweet), and product image."</t>
  </si>
  <si>
    <t>G27</t>
  </si>
  <si>
    <t>Wine Information</t>
  </si>
  <si>
    <t>Attributes of the wine captured by the system.</t>
  </si>
  <si>
    <t>For each wine, the system will capture the name, description, production year, price per bottle, sweetness level (dry, semi-dry, semi-sweet, sweet), and product image.</t>
  </si>
  <si>
    <t>Wine Attributes</t>
  </si>
  <si>
    <t>Describes the attributes captured for each wine in the system.</t>
  </si>
  <si>
    <t>Wine Sweetness Level Enumeration</t>
  </si>
  <si>
    <t>E: Sweetness Level</t>
  </si>
  <si>
    <t>Wine Distinction Criteria</t>
  </si>
  <si>
    <t>Mentions the criteria for distinguishing wines based on manufacturer and catalog numbers.</t>
  </si>
  <si>
    <t>"Wines are distinguished by their manufacturer number and catalog number."</t>
  </si>
  <si>
    <t>G28</t>
  </si>
  <si>
    <t>Wine Distinction</t>
  </si>
  <si>
    <t>Wines are distinguished by manufacturer number and catalog number.</t>
  </si>
  <si>
    <t>Wines are distinguished by their manufacturer number and catalog number.</t>
  </si>
  <si>
    <t>Wine Identification Numbers</t>
  </si>
  <si>
    <t>Describes how wines are distinguished using manufacturer and catalog numbers.</t>
  </si>
  <si>
    <t>Wine - Wine Type Association</t>
  </si>
  <si>
    <t>A: Wine - Wine Type</t>
  </si>
  <si>
    <t>Wine Type Linking and Modification by Marketing</t>
  </si>
  <si>
    <t>Wine Linking and Modification</t>
  </si>
  <si>
    <t>Describes the role of marketing staff in linking wines to types and modifying details.</t>
  </si>
  <si>
    <t>"Marketing staff will link wines to their types and can modify price details and product images."</t>
  </si>
  <si>
    <t>G29</t>
  </si>
  <si>
    <t>Wine Type Linking</t>
  </si>
  <si>
    <t>Marketing staff links wines to types and modifies prices/images.</t>
  </si>
  <si>
    <t>Marketing staff will link wines to their types and can modify price details and product images.</t>
  </si>
  <si>
    <t>Wine Modification by Marketing</t>
  </si>
  <si>
    <t>Indicates marketing staff have roles related to linking wines to types and modifying details.</t>
  </si>
  <si>
    <t>Wine Storage Locations</t>
  </si>
  <si>
    <t>C: Storage</t>
  </si>
  <si>
    <t>Details the storage location schema for wines each with a unique identifier.</t>
  </si>
  <si>
    <t>"Each wine is stored in a specific location (e.g., main refrigerator, cellar), and each storage location has a unique number and name."</t>
  </si>
  <si>
    <t>G30</t>
  </si>
  <si>
    <t>Wine Storage</t>
  </si>
  <si>
    <t>Information about wine storage locations and their uniqueness.</t>
  </si>
  <si>
    <t>Each wine is stored in a specific location (e.g., main refrigerator, cellar), and each storage location has a unique number and name.</t>
  </si>
  <si>
    <t>Wine Storage Details</t>
  </si>
  <si>
    <t>Details the storage of wines, including location attributes like number and name.</t>
  </si>
  <si>
    <t>Wine Inventory Tracking</t>
  </si>
  <si>
    <t>AC: Wine-Storage</t>
  </si>
  <si>
    <t>Describes how the system tracks the number of wine bottles at each storage location.</t>
  </si>
  <si>
    <t>"The system tracks the number of bottles of each wine at each storage location (wines may be stored in multiple locations and a single location may store multiple wines)."</t>
  </si>
  <si>
    <t>G31</t>
  </si>
  <si>
    <t>Inventory Tracking</t>
  </si>
  <si>
    <t>Tracking the number of bottles at each storage location.</t>
  </si>
  <si>
    <t>The system tracks the number of bottles of each wine at each storage location (wines may be stored in multiple locations and a single location may store multiple wines).</t>
  </si>
  <si>
    <t>Describes how the system tracks inventory levels of wines at various locations.</t>
  </si>
  <si>
    <t>Inventory Update Process</t>
  </si>
  <si>
    <t>Specifies that inventory updates are required after each wine sale.</t>
  </si>
  <si>
    <t>"As wines are sold only from available stock, inventory must be updated after each sale."</t>
  </si>
  <si>
    <t>G32</t>
  </si>
  <si>
    <t>Inventory Updates</t>
  </si>
  <si>
    <t>The inventory must be updated after each sale to manage available stock.</t>
  </si>
  <si>
    <t>As wines are sold only from available stock, inventory must be updated after each sale.</t>
  </si>
  <si>
    <t>Indicates the need for inventory updates following sales to ensure stock accuracy.</t>
  </si>
  <si>
    <t>Unproductive Employees Report</t>
  </si>
  <si>
    <t>Cheers System Reports</t>
  </si>
  <si>
    <t>Describes the three types of reports generated by the Cheers system: Unproductive Employees, Current Inventory, and Wine Recommendations.</t>
  </si>
  <si>
    <t>"The 'Cheers' system will also generate the following reports: (1) Unproductive Employees Report: Generated by a sales employee, this report takes a time period as a parameter and displays the personal information of employees who placed fewer than 2 urgent orders OR fewer than 4 regular orders within that period; (2) Current Inventory Report by Wine: This report provides the inventory levels of all wines and is sent to the Gefen system in JSON format every weekend to assist with restocking preparations; (3) Wine Recommendation Report for Customers: Produced by a sales employee, this report returns a list of available wines that match the customer's preferences based on food, occasion, and wine type."</t>
  </si>
  <si>
    <t>G33</t>
  </si>
  <si>
    <t>Report details unproductive employees based on order placements within a period.</t>
  </si>
  <si>
    <t>The "Cheers" system will also generate the following reports: (1) Unproductive Employees Report: Generated by a sales employee, this report takes a time period as a parameter and displays the personal information of employees who placed fewer than 2 urgent orders OR fewer than 4 regular orders within that period;</t>
  </si>
  <si>
    <t>Describes a reporting operation that identifies unproductive employees based on order frequency.</t>
  </si>
  <si>
    <t>(1) Unproductive Employees Report: Generated by a sales employee, this report takes a time period as a parameter and displays the personal information of employees who placed fewer than 2 urgent orders OR fewer than 4 regular orders within that period;</t>
  </si>
  <si>
    <t>Current Inventory Report</t>
  </si>
  <si>
    <t>G34</t>
  </si>
  <si>
    <t>Provides current wine inventory levels to the Gefen system.</t>
  </si>
  <si>
    <t>(2) Current Inventory Report by Wine: This report provides the inventory levels of all wines and is sent to the Gefen system in JSON format every weekend to assist with restocking preparations;</t>
  </si>
  <si>
    <t>Details the operation of generating inventory reports for the Gefen system.</t>
  </si>
  <si>
    <t>Wine Recommendation Report</t>
  </si>
  <si>
    <t>G35</t>
  </si>
  <si>
    <t>Generates wine recommendations for customers based on preferences.</t>
  </si>
  <si>
    <t>(3) Wine Recommendation Report for Customers: Produced by a sales employee, this report returns a list of available wines that match the customer's preferences based on food, occasion, and wine type.</t>
  </si>
  <si>
    <t>Describes a reporting operation offering wine recommendations compliant with customer preferences.</t>
  </si>
  <si>
    <t>WRONG</t>
  </si>
  <si>
    <t>Full</t>
  </si>
  <si>
    <t>Parially</t>
  </si>
  <si>
    <t>Can be interface</t>
  </si>
  <si>
    <t>system controller</t>
  </si>
  <si>
    <t>Explicit requirement</t>
  </si>
  <si>
    <t>Not clear</t>
  </si>
  <si>
    <t>may specify access rules</t>
  </si>
  <si>
    <t>explicut requirement</t>
  </si>
  <si>
    <t>The clusering name is nor clear</t>
  </si>
  <si>
    <t>Can be an operation of an employee</t>
  </si>
  <si>
    <t>should be enum</t>
  </si>
  <si>
    <t xml:space="preserve">Full </t>
  </si>
  <si>
    <t>Implicit relevancy</t>
  </si>
  <si>
    <t>Partially</t>
  </si>
  <si>
    <t>Week relationship to the meaning</t>
  </si>
  <si>
    <t>may be an operation</t>
  </si>
  <si>
    <t>Status</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</si>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</sst>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ont>
    <font>
      <b/>
      <sz val="10"/>
      <color rgb="FF222222"/>
      <name val="Arial"/>
    </font>
    <font>
      <i/>
      <sz val="10"/>
      <color rgb="FFAAAAAA"/>
      <name val="Arial"/>
    </font>
    <font>
      <sz val="10"/>
      <color rgb="FF222222"/>
      <name val="Arial"/>
    </font>
    <font>
      <sz val="11"/>
      <color rgb="FF9C0006"/>
      <name val="Calibri"/>
      <family val="2"/>
      <charset val="177"/>
      <scheme val="minor"/>
    </font>
    <font>
      <sz val="10"/>
      <color rgb="FF222222"/>
      <name val="Arial"/>
      <family val="2"/>
    </font>
    <font>
      <i/>
      <sz val="10"/>
      <color rgb="FFAAAAAA"/>
      <name val="Arial"/>
      <family val="2"/>
    </font>
  </fonts>
  <fills count="7">
    <fill>
      <patternFill patternType="none"/>
    </fill>
    <fill>
      <patternFill patternType="gray125"/>
    </fill>
    <fill>
      <patternFill patternType="solid">
        <fgColor rgb="FF1B3A5C"/>
      </patternFill>
    </fill>
    <fill>
      <patternFill patternType="solid">
        <fgColor rgb="FFFFFFFF"/>
      </patternFill>
    </fill>
    <fill>
      <patternFill patternType="solid">
        <fgColor rgb="FFF5F5F5"/>
      </patternFill>
    </fill>
    <fill>
      <patternFill patternType="solid">
        <fgColor rgb="FFF0F4FA"/>
      </patternFill>
    </fill>
    <fill>
      <patternFill patternType="solid">
        <fgColor rgb="FFFFC7CE"/>
      </patternFill>
    </fill>
  </fills>
  <borders count="4">
    <border>
      <left/>
      <right/>
      <top/>
      <bottom/>
      <diagonal/>
    </border>
    <border>
      <left style="medium">
        <color rgb="FFFFFFFF"/>
      </left>
      <right style="medium">
        <color rgb="FFFFFFFF"/>
      </right>
      <top style="thin">
        <color rgb="FFCCCCCC"/>
      </top>
      <bottom style="medium">
        <color rgb="FFFFFFFF"/>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5" fillId="6" borderId="0" applyNumberFormat="0" applyBorder="0" applyAlignment="0" applyProtection="0"/>
  </cellStyleXfs>
  <cellXfs count="16">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3" borderId="2" xfId="0" applyFont="1" applyFill="1" applyBorder="1" applyAlignment="1">
      <alignment horizontal="center" vertical="top" wrapText="1"/>
    </xf>
    <xf numFmtId="0" fontId="2"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2" fillId="5" borderId="2" xfId="0" applyFont="1" applyFill="1" applyBorder="1" applyAlignment="1">
      <alignment horizontal="center" vertical="top" wrapText="1"/>
    </xf>
    <xf numFmtId="0" fontId="2"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3" fillId="4" borderId="2" xfId="0" applyFont="1" applyFill="1" applyBorder="1" applyAlignment="1">
      <alignment horizontal="center" vertical="top" wrapText="1"/>
    </xf>
    <xf numFmtId="0" fontId="0" fillId="0" borderId="0" xfId="0" applyAlignment="1">
      <alignment vertical="top" wrapText="1"/>
    </xf>
    <xf numFmtId="0" fontId="6" fillId="0" borderId="3" xfId="0" applyFont="1" applyBorder="1" applyAlignment="1">
      <alignment horizontal="left" vertical="top" wrapText="1"/>
    </xf>
    <xf numFmtId="0" fontId="5" fillId="0" borderId="3" xfId="1" applyFill="1" applyBorder="1" applyAlignment="1">
      <alignment horizontal="left" vertical="top" wrapText="1"/>
    </xf>
    <xf numFmtId="0" fontId="7" fillId="0" borderId="3" xfId="0" applyFont="1" applyBorder="1" applyAlignment="1">
      <alignment horizontal="left" vertical="top" wrapText="1"/>
    </xf>
    <xf numFmtId="2" fontId="1" fillId="2" borderId="1" xfId="0" applyNumberFormat="1" applyFont="1" applyFill="1" applyBorder="1" applyAlignment="1">
      <alignment horizontal="center" vertical="center" wrapText="1"/>
    </xf>
  </cellXfs>
  <cellStyles count="2">
    <cellStyle name="Bad" xfId="1" builtinId="27"/>
    <cellStyle name="Normal" xfId="0" builtinId="0"/>
  </cellStyles>
  <dxfs count="3">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
  <sheetViews>
    <sheetView tabSelected="1" workbookViewId="0">
      <pane xSplit="3" ySplit="1" topLeftCell="D2" activePane="bottomRight" state="frozen"/>
      <selection pane="topRight"/>
      <selection pane="bottomLeft"/>
      <selection pane="bottomRight" activeCell="D2" sqref="D2"/>
    </sheetView>
  </sheetViews>
  <sheetFormatPr defaultRowHeight="14.5" x14ac:dyDescent="0.35"/>
  <cols>
    <col min="1" max="1" width="4" customWidth="1"/>
    <col min="2" max="2" width="28" customWidth="1"/>
    <col min="3" max="3" width="30" customWidth="1"/>
    <col min="4" max="4" width="7" customWidth="1"/>
    <col min="5" max="5" width="26" customWidth="1"/>
    <col min="6" max="6" width="40" customWidth="1"/>
    <col min="7" max="7" width="50" customWidth="1"/>
    <col min="8" max="8" width="7" customWidth="1"/>
    <col min="9" max="9" width="26" customWidth="1"/>
    <col min="10" max="10" width="40" customWidth="1"/>
    <col min="11" max="11" width="50" customWidth="1"/>
    <col min="12" max="12" width="7" customWidth="1"/>
    <col min="13" max="13" width="26" customWidth="1"/>
    <col min="14" max="14" width="40" customWidth="1"/>
    <col min="15" max="15" width="50" customWidth="1"/>
    <col min="16" max="16" width="8.7265625" style="11"/>
    <col min="17" max="17" width="50" customWidth="1"/>
    <col min="18" max="18" width="10.36328125" bestFit="1" customWidth="1"/>
  </cols>
  <sheetData>
    <row r="1" spans="1:17" ht="36" customHeight="1" thickBot="1" x14ac:dyDescent="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354</v>
      </c>
      <c r="Q1" s="2" t="s">
        <v>355</v>
      </c>
    </row>
    <row r="2" spans="1:17" ht="80.150000000000006" customHeight="1" x14ac:dyDescent="0.35">
      <c r="A2" s="3">
        <v>1</v>
      </c>
      <c r="B2" s="4" t="s">
        <v>15</v>
      </c>
      <c r="C2" s="5" t="s">
        <v>16</v>
      </c>
      <c r="D2" s="3" t="s">
        <v>17</v>
      </c>
      <c r="E2" s="6" t="s">
        <v>18</v>
      </c>
      <c r="F2" s="6" t="s">
        <v>19</v>
      </c>
      <c r="G2" s="6" t="s">
        <v>20</v>
      </c>
      <c r="H2" s="3" t="s">
        <v>17</v>
      </c>
      <c r="I2" s="6" t="s">
        <v>15</v>
      </c>
      <c r="J2" s="6" t="s">
        <v>21</v>
      </c>
      <c r="K2" s="6" t="s">
        <v>22</v>
      </c>
      <c r="L2" s="3" t="s">
        <v>17</v>
      </c>
      <c r="M2" s="6" t="s">
        <v>15</v>
      </c>
      <c r="N2" s="6" t="s">
        <v>23</v>
      </c>
      <c r="O2" s="6" t="s">
        <v>22</v>
      </c>
      <c r="P2" s="12" t="s">
        <v>338</v>
      </c>
      <c r="Q2" s="6" t="s">
        <v>341</v>
      </c>
    </row>
    <row r="3" spans="1:17" ht="80.150000000000006" customHeight="1" x14ac:dyDescent="0.35">
      <c r="A3" s="7">
        <v>2</v>
      </c>
      <c r="B3" s="8" t="s">
        <v>24</v>
      </c>
      <c r="C3" s="9" t="s">
        <v>25</v>
      </c>
      <c r="D3" s="7" t="s">
        <v>26</v>
      </c>
      <c r="E3" s="9" t="s">
        <v>27</v>
      </c>
      <c r="F3" s="9" t="s">
        <v>28</v>
      </c>
      <c r="G3" s="9" t="s">
        <v>29</v>
      </c>
      <c r="H3" s="7" t="s">
        <v>26</v>
      </c>
      <c r="I3" s="9" t="s">
        <v>30</v>
      </c>
      <c r="J3" s="9" t="s">
        <v>31</v>
      </c>
      <c r="K3" s="9" t="s">
        <v>32</v>
      </c>
      <c r="L3" s="7" t="s">
        <v>26</v>
      </c>
      <c r="M3" s="9" t="s">
        <v>33</v>
      </c>
      <c r="N3" s="9" t="s">
        <v>34</v>
      </c>
      <c r="O3" s="9" t="s">
        <v>32</v>
      </c>
      <c r="P3" s="12" t="s">
        <v>338</v>
      </c>
      <c r="Q3" s="9" t="s">
        <v>342</v>
      </c>
    </row>
    <row r="4" spans="1:17" ht="80.150000000000006" customHeight="1" x14ac:dyDescent="0.35">
      <c r="A4" s="3">
        <v>3</v>
      </c>
      <c r="B4" s="4" t="s">
        <v>35</v>
      </c>
      <c r="C4" s="6" t="s">
        <v>36</v>
      </c>
      <c r="D4" s="3" t="s">
        <v>37</v>
      </c>
      <c r="E4" s="6" t="s">
        <v>35</v>
      </c>
      <c r="F4" s="6" t="s">
        <v>38</v>
      </c>
      <c r="G4" s="6" t="s">
        <v>39</v>
      </c>
      <c r="H4" s="3" t="s">
        <v>37</v>
      </c>
      <c r="I4" s="6" t="s">
        <v>40</v>
      </c>
      <c r="J4" s="6" t="s">
        <v>41</v>
      </c>
      <c r="K4" s="6" t="s">
        <v>42</v>
      </c>
      <c r="L4" s="3" t="s">
        <v>37</v>
      </c>
      <c r="M4" s="6" t="s">
        <v>35</v>
      </c>
      <c r="N4" s="6" t="s">
        <v>43</v>
      </c>
      <c r="O4" s="6" t="s">
        <v>42</v>
      </c>
      <c r="P4" s="12" t="s">
        <v>338</v>
      </c>
      <c r="Q4" s="6" t="s">
        <v>342</v>
      </c>
    </row>
    <row r="5" spans="1:17" ht="80.150000000000006" customHeight="1" x14ac:dyDescent="0.35">
      <c r="A5" s="7">
        <v>4</v>
      </c>
      <c r="B5" s="8" t="s">
        <v>44</v>
      </c>
      <c r="C5" s="9" t="s">
        <v>45</v>
      </c>
      <c r="D5" s="10" t="s">
        <v>16</v>
      </c>
      <c r="E5" s="5" t="s">
        <v>16</v>
      </c>
      <c r="F5" s="5" t="s">
        <v>16</v>
      </c>
      <c r="G5" s="5" t="s">
        <v>16</v>
      </c>
      <c r="H5" s="10" t="s">
        <v>16</v>
      </c>
      <c r="I5" s="5" t="s">
        <v>16</v>
      </c>
      <c r="J5" s="5" t="s">
        <v>16</v>
      </c>
      <c r="K5" s="5" t="s">
        <v>16</v>
      </c>
      <c r="L5" s="10" t="s">
        <v>16</v>
      </c>
      <c r="M5" s="5" t="s">
        <v>16</v>
      </c>
      <c r="N5" s="5" t="s">
        <v>16</v>
      </c>
      <c r="O5" s="5" t="s">
        <v>16</v>
      </c>
      <c r="P5" s="13" t="s">
        <v>338</v>
      </c>
      <c r="Q5" s="5" t="s">
        <v>342</v>
      </c>
    </row>
    <row r="6" spans="1:17" ht="80.150000000000006" customHeight="1" x14ac:dyDescent="0.35">
      <c r="A6" s="3">
        <v>5</v>
      </c>
      <c r="B6" s="4" t="s">
        <v>46</v>
      </c>
      <c r="C6" s="5" t="s">
        <v>16</v>
      </c>
      <c r="D6" s="3" t="s">
        <v>47</v>
      </c>
      <c r="E6" s="6" t="s">
        <v>48</v>
      </c>
      <c r="F6" s="6" t="s">
        <v>49</v>
      </c>
      <c r="G6" s="6" t="s">
        <v>50</v>
      </c>
      <c r="H6" s="3" t="s">
        <v>47</v>
      </c>
      <c r="I6" s="6" t="s">
        <v>46</v>
      </c>
      <c r="J6" s="6" t="s">
        <v>51</v>
      </c>
      <c r="K6" s="6" t="s">
        <v>52</v>
      </c>
      <c r="L6" s="3" t="s">
        <v>47</v>
      </c>
      <c r="M6" s="6" t="s">
        <v>46</v>
      </c>
      <c r="N6" s="6" t="s">
        <v>53</v>
      </c>
      <c r="O6" s="6" t="s">
        <v>52</v>
      </c>
      <c r="P6" s="12" t="s">
        <v>339</v>
      </c>
      <c r="Q6" s="6" t="s">
        <v>340</v>
      </c>
    </row>
    <row r="7" spans="1:17" ht="80.150000000000006" customHeight="1" x14ac:dyDescent="0.35">
      <c r="A7" s="7">
        <v>6</v>
      </c>
      <c r="B7" s="8" t="s">
        <v>54</v>
      </c>
      <c r="C7" s="5" t="s">
        <v>16</v>
      </c>
      <c r="D7" s="7" t="s">
        <v>55</v>
      </c>
      <c r="E7" s="9" t="s">
        <v>56</v>
      </c>
      <c r="F7" s="9" t="s">
        <v>57</v>
      </c>
      <c r="G7" s="9" t="s">
        <v>58</v>
      </c>
      <c r="H7" s="7" t="s">
        <v>55</v>
      </c>
      <c r="I7" s="9" t="s">
        <v>56</v>
      </c>
      <c r="J7" s="9" t="s">
        <v>59</v>
      </c>
      <c r="K7" s="9" t="s">
        <v>60</v>
      </c>
      <c r="L7" s="7" t="s">
        <v>55</v>
      </c>
      <c r="M7" s="9" t="s">
        <v>54</v>
      </c>
      <c r="N7" s="9" t="s">
        <v>61</v>
      </c>
      <c r="O7" s="9" t="s">
        <v>60</v>
      </c>
      <c r="P7" s="12" t="s">
        <v>338</v>
      </c>
      <c r="Q7" s="9" t="s">
        <v>342</v>
      </c>
    </row>
    <row r="8" spans="1:17" ht="80.150000000000006" customHeight="1" x14ac:dyDescent="0.35">
      <c r="A8" s="3">
        <v>7</v>
      </c>
      <c r="B8" s="4" t="s">
        <v>62</v>
      </c>
      <c r="C8" s="6" t="s">
        <v>63</v>
      </c>
      <c r="D8" s="10" t="s">
        <v>16</v>
      </c>
      <c r="E8" s="5" t="s">
        <v>16</v>
      </c>
      <c r="F8" s="5" t="s">
        <v>16</v>
      </c>
      <c r="G8" s="5" t="s">
        <v>16</v>
      </c>
      <c r="H8" s="3" t="s">
        <v>64</v>
      </c>
      <c r="I8" s="6" t="s">
        <v>62</v>
      </c>
      <c r="J8" s="6" t="s">
        <v>65</v>
      </c>
      <c r="K8" s="6" t="s">
        <v>66</v>
      </c>
      <c r="L8" s="3" t="s">
        <v>64</v>
      </c>
      <c r="M8" s="6" t="s">
        <v>62</v>
      </c>
      <c r="N8" s="6" t="s">
        <v>67</v>
      </c>
      <c r="O8" s="6" t="s">
        <v>66</v>
      </c>
      <c r="P8" s="12" t="s">
        <v>339</v>
      </c>
      <c r="Q8" s="6" t="s">
        <v>343</v>
      </c>
    </row>
    <row r="9" spans="1:17" ht="80.150000000000006" customHeight="1" x14ac:dyDescent="0.35">
      <c r="A9" s="7">
        <v>8</v>
      </c>
      <c r="B9" s="8" t="s">
        <v>68</v>
      </c>
      <c r="C9" s="9" t="s">
        <v>69</v>
      </c>
      <c r="D9" s="10" t="s">
        <v>16</v>
      </c>
      <c r="E9" s="5" t="s">
        <v>16</v>
      </c>
      <c r="F9" s="5" t="s">
        <v>16</v>
      </c>
      <c r="G9" s="5" t="s">
        <v>16</v>
      </c>
      <c r="H9" s="7" t="s">
        <v>70</v>
      </c>
      <c r="I9" s="9" t="s">
        <v>71</v>
      </c>
      <c r="J9" s="9" t="s">
        <v>72</v>
      </c>
      <c r="K9" s="9" t="s">
        <v>73</v>
      </c>
      <c r="L9" s="7" t="s">
        <v>70</v>
      </c>
      <c r="M9" s="9" t="s">
        <v>74</v>
      </c>
      <c r="N9" s="9" t="s">
        <v>75</v>
      </c>
      <c r="O9" s="9" t="s">
        <v>73</v>
      </c>
      <c r="P9" s="12" t="s">
        <v>338</v>
      </c>
      <c r="Q9" s="9" t="s">
        <v>342</v>
      </c>
    </row>
    <row r="10" spans="1:17" ht="80.150000000000006" customHeight="1" x14ac:dyDescent="0.35">
      <c r="A10" s="3">
        <v>9</v>
      </c>
      <c r="B10" s="4" t="s">
        <v>76</v>
      </c>
      <c r="C10" s="6" t="s">
        <v>77</v>
      </c>
      <c r="D10" s="3" t="s">
        <v>64</v>
      </c>
      <c r="E10" s="6" t="s">
        <v>76</v>
      </c>
      <c r="F10" s="6" t="s">
        <v>78</v>
      </c>
      <c r="G10" s="6" t="s">
        <v>79</v>
      </c>
      <c r="H10" s="3" t="s">
        <v>80</v>
      </c>
      <c r="I10" s="6" t="s">
        <v>81</v>
      </c>
      <c r="J10" s="6" t="s">
        <v>82</v>
      </c>
      <c r="K10" s="6" t="s">
        <v>83</v>
      </c>
      <c r="L10" s="3" t="s">
        <v>80</v>
      </c>
      <c r="M10" s="6" t="s">
        <v>84</v>
      </c>
      <c r="N10" s="6" t="s">
        <v>85</v>
      </c>
      <c r="O10" s="6" t="s">
        <v>83</v>
      </c>
      <c r="P10" s="12" t="s">
        <v>338</v>
      </c>
      <c r="Q10" s="6" t="s">
        <v>342</v>
      </c>
    </row>
    <row r="11" spans="1:17" ht="80.150000000000006" customHeight="1" x14ac:dyDescent="0.35">
      <c r="A11" s="7">
        <v>10</v>
      </c>
      <c r="B11" s="8" t="s">
        <v>86</v>
      </c>
      <c r="C11" s="9" t="s">
        <v>87</v>
      </c>
      <c r="D11" s="7" t="s">
        <v>70</v>
      </c>
      <c r="E11" s="9" t="s">
        <v>86</v>
      </c>
      <c r="F11" s="9" t="s">
        <v>88</v>
      </c>
      <c r="G11" s="9" t="s">
        <v>89</v>
      </c>
      <c r="H11" s="7" t="s">
        <v>90</v>
      </c>
      <c r="I11" s="9" t="s">
        <v>91</v>
      </c>
      <c r="J11" s="9" t="s">
        <v>92</v>
      </c>
      <c r="K11" s="9" t="s">
        <v>93</v>
      </c>
      <c r="L11" s="7" t="s">
        <v>90</v>
      </c>
      <c r="M11" s="9" t="s">
        <v>94</v>
      </c>
      <c r="N11" s="9" t="s">
        <v>95</v>
      </c>
      <c r="O11" s="9" t="s">
        <v>93</v>
      </c>
      <c r="P11" s="12" t="s">
        <v>337</v>
      </c>
      <c r="Q11" s="9" t="s">
        <v>344</v>
      </c>
    </row>
    <row r="12" spans="1:17" ht="80.150000000000006" customHeight="1" x14ac:dyDescent="0.35">
      <c r="A12" s="3">
        <v>11</v>
      </c>
      <c r="B12" s="4" t="s">
        <v>96</v>
      </c>
      <c r="C12" s="6" t="s">
        <v>97</v>
      </c>
      <c r="D12" s="3" t="s">
        <v>80</v>
      </c>
      <c r="E12" s="6" t="s">
        <v>96</v>
      </c>
      <c r="F12" s="6" t="s">
        <v>98</v>
      </c>
      <c r="G12" s="6" t="s">
        <v>99</v>
      </c>
      <c r="H12" s="3" t="s">
        <v>100</v>
      </c>
      <c r="I12" s="6" t="s">
        <v>101</v>
      </c>
      <c r="J12" s="6" t="s">
        <v>102</v>
      </c>
      <c r="K12" s="6" t="s">
        <v>103</v>
      </c>
      <c r="L12" s="3" t="s">
        <v>100</v>
      </c>
      <c r="M12" s="6" t="s">
        <v>96</v>
      </c>
      <c r="N12" s="6" t="s">
        <v>104</v>
      </c>
      <c r="O12" s="6" t="s">
        <v>103</v>
      </c>
      <c r="P12" s="12" t="s">
        <v>338</v>
      </c>
      <c r="Q12" s="6" t="s">
        <v>345</v>
      </c>
    </row>
    <row r="13" spans="1:17" ht="80.150000000000006" customHeight="1" x14ac:dyDescent="0.35">
      <c r="A13" s="7">
        <v>12</v>
      </c>
      <c r="B13" s="8" t="s">
        <v>105</v>
      </c>
      <c r="C13" s="9" t="s">
        <v>106</v>
      </c>
      <c r="D13" s="7" t="s">
        <v>90</v>
      </c>
      <c r="E13" s="9" t="s">
        <v>107</v>
      </c>
      <c r="F13" s="9" t="s">
        <v>108</v>
      </c>
      <c r="G13" s="9" t="s">
        <v>109</v>
      </c>
      <c r="H13" s="7" t="s">
        <v>110</v>
      </c>
      <c r="I13" s="9" t="s">
        <v>111</v>
      </c>
      <c r="J13" s="9" t="s">
        <v>112</v>
      </c>
      <c r="K13" s="9" t="s">
        <v>113</v>
      </c>
      <c r="L13" s="7" t="s">
        <v>110</v>
      </c>
      <c r="M13" s="9" t="s">
        <v>114</v>
      </c>
      <c r="N13" s="9" t="s">
        <v>115</v>
      </c>
      <c r="O13" s="9" t="s">
        <v>113</v>
      </c>
      <c r="P13" s="12" t="s">
        <v>338</v>
      </c>
      <c r="Q13" s="9" t="s">
        <v>345</v>
      </c>
    </row>
    <row r="14" spans="1:17" ht="80.150000000000006" customHeight="1" x14ac:dyDescent="0.35">
      <c r="A14" s="3">
        <v>13</v>
      </c>
      <c r="B14" s="4" t="s">
        <v>116</v>
      </c>
      <c r="C14" s="6" t="s">
        <v>117</v>
      </c>
      <c r="D14" s="3" t="s">
        <v>100</v>
      </c>
      <c r="E14" s="6" t="s">
        <v>116</v>
      </c>
      <c r="F14" s="6" t="s">
        <v>118</v>
      </c>
      <c r="G14" s="6" t="s">
        <v>119</v>
      </c>
      <c r="H14" s="3" t="s">
        <v>120</v>
      </c>
      <c r="I14" s="6" t="s">
        <v>121</v>
      </c>
      <c r="J14" s="6" t="s">
        <v>122</v>
      </c>
      <c r="K14" s="6" t="s">
        <v>123</v>
      </c>
      <c r="L14" s="3" t="s">
        <v>120</v>
      </c>
      <c r="M14" s="6" t="s">
        <v>124</v>
      </c>
      <c r="N14" s="6" t="s">
        <v>125</v>
      </c>
      <c r="O14" s="6" t="s">
        <v>123</v>
      </c>
      <c r="P14" s="12" t="s">
        <v>338</v>
      </c>
      <c r="Q14" s="6" t="s">
        <v>345</v>
      </c>
    </row>
    <row r="15" spans="1:17" ht="80.150000000000006" customHeight="1" x14ac:dyDescent="0.35">
      <c r="A15" s="7">
        <v>14</v>
      </c>
      <c r="B15" s="8" t="s">
        <v>126</v>
      </c>
      <c r="C15" s="9" t="s">
        <v>69</v>
      </c>
      <c r="D15" s="7" t="s">
        <v>110</v>
      </c>
      <c r="E15" s="9" t="s">
        <v>127</v>
      </c>
      <c r="F15" s="9" t="s">
        <v>128</v>
      </c>
      <c r="G15" s="9" t="s">
        <v>129</v>
      </c>
      <c r="H15" s="7" t="s">
        <v>130</v>
      </c>
      <c r="I15" s="9" t="s">
        <v>131</v>
      </c>
      <c r="J15" s="9" t="s">
        <v>132</v>
      </c>
      <c r="K15" s="9" t="s">
        <v>133</v>
      </c>
      <c r="L15" s="7" t="s">
        <v>130</v>
      </c>
      <c r="M15" s="9" t="s">
        <v>126</v>
      </c>
      <c r="N15" s="9" t="s">
        <v>134</v>
      </c>
      <c r="O15" s="9" t="s">
        <v>133</v>
      </c>
      <c r="P15" s="12" t="s">
        <v>338</v>
      </c>
      <c r="Q15" s="9" t="s">
        <v>345</v>
      </c>
    </row>
    <row r="16" spans="1:17" ht="80.150000000000006" customHeight="1" x14ac:dyDescent="0.35">
      <c r="A16" s="3">
        <v>15</v>
      </c>
      <c r="B16" s="4" t="s">
        <v>135</v>
      </c>
      <c r="C16" s="6" t="s">
        <v>77</v>
      </c>
      <c r="D16" s="3" t="s">
        <v>120</v>
      </c>
      <c r="E16" s="6" t="s">
        <v>136</v>
      </c>
      <c r="F16" s="6" t="s">
        <v>137</v>
      </c>
      <c r="G16" s="6" t="s">
        <v>138</v>
      </c>
      <c r="H16" s="3" t="s">
        <v>139</v>
      </c>
      <c r="I16" s="6" t="s">
        <v>140</v>
      </c>
      <c r="J16" s="6" t="s">
        <v>141</v>
      </c>
      <c r="K16" s="6" t="s">
        <v>142</v>
      </c>
      <c r="L16" s="3" t="s">
        <v>139</v>
      </c>
      <c r="M16" s="6" t="s">
        <v>143</v>
      </c>
      <c r="N16" s="6" t="s">
        <v>144</v>
      </c>
      <c r="O16" s="6" t="s">
        <v>142</v>
      </c>
      <c r="P16" s="12" t="s">
        <v>338</v>
      </c>
      <c r="Q16" s="6" t="s">
        <v>345</v>
      </c>
    </row>
    <row r="17" spans="1:17" ht="80.150000000000006" customHeight="1" x14ac:dyDescent="0.35">
      <c r="A17" s="7">
        <v>16</v>
      </c>
      <c r="B17" s="8" t="s">
        <v>145</v>
      </c>
      <c r="C17" s="9" t="s">
        <v>87</v>
      </c>
      <c r="D17" s="10" t="s">
        <v>16</v>
      </c>
      <c r="E17" s="5" t="s">
        <v>16</v>
      </c>
      <c r="F17" s="5" t="s">
        <v>16</v>
      </c>
      <c r="G17" s="5" t="s">
        <v>16</v>
      </c>
      <c r="H17" s="7" t="s">
        <v>146</v>
      </c>
      <c r="I17" s="9" t="s">
        <v>147</v>
      </c>
      <c r="J17" s="9" t="s">
        <v>148</v>
      </c>
      <c r="K17" s="9" t="s">
        <v>149</v>
      </c>
      <c r="L17" s="7" t="s">
        <v>146</v>
      </c>
      <c r="M17" s="9" t="s">
        <v>86</v>
      </c>
      <c r="N17" s="9" t="s">
        <v>150</v>
      </c>
      <c r="O17" s="9" t="s">
        <v>149</v>
      </c>
      <c r="P17" s="12" t="s">
        <v>339</v>
      </c>
      <c r="Q17" s="9" t="s">
        <v>346</v>
      </c>
    </row>
    <row r="18" spans="1:17" ht="80.150000000000006" customHeight="1" x14ac:dyDescent="0.35">
      <c r="A18" s="3">
        <v>17</v>
      </c>
      <c r="B18" s="4" t="s">
        <v>151</v>
      </c>
      <c r="C18" s="6" t="s">
        <v>152</v>
      </c>
      <c r="D18" s="10" t="s">
        <v>16</v>
      </c>
      <c r="E18" s="5" t="s">
        <v>16</v>
      </c>
      <c r="F18" s="5" t="s">
        <v>16</v>
      </c>
      <c r="G18" s="5" t="s">
        <v>16</v>
      </c>
      <c r="H18" s="10" t="s">
        <v>16</v>
      </c>
      <c r="I18" s="5" t="s">
        <v>16</v>
      </c>
      <c r="J18" s="5" t="s">
        <v>16</v>
      </c>
      <c r="K18" s="5" t="s">
        <v>16</v>
      </c>
      <c r="L18" s="10" t="s">
        <v>16</v>
      </c>
      <c r="M18" s="5" t="s">
        <v>16</v>
      </c>
      <c r="N18" s="5" t="s">
        <v>16</v>
      </c>
      <c r="O18" s="5" t="s">
        <v>16</v>
      </c>
      <c r="P18" s="12" t="s">
        <v>338</v>
      </c>
      <c r="Q18" s="5" t="s">
        <v>345</v>
      </c>
    </row>
    <row r="19" spans="1:17" ht="80.150000000000006" customHeight="1" x14ac:dyDescent="0.35">
      <c r="A19" s="7">
        <v>18</v>
      </c>
      <c r="B19" s="8" t="s">
        <v>153</v>
      </c>
      <c r="C19" s="9" t="s">
        <v>154</v>
      </c>
      <c r="D19" s="10" t="s">
        <v>16</v>
      </c>
      <c r="E19" s="5" t="s">
        <v>16</v>
      </c>
      <c r="F19" s="5" t="s">
        <v>16</v>
      </c>
      <c r="G19" s="5" t="s">
        <v>16</v>
      </c>
      <c r="H19" s="10" t="s">
        <v>16</v>
      </c>
      <c r="I19" s="5" t="s">
        <v>16</v>
      </c>
      <c r="J19" s="5" t="s">
        <v>16</v>
      </c>
      <c r="K19" s="5" t="s">
        <v>16</v>
      </c>
      <c r="L19" s="10" t="s">
        <v>16</v>
      </c>
      <c r="M19" s="5" t="s">
        <v>16</v>
      </c>
      <c r="N19" s="5" t="s">
        <v>16</v>
      </c>
      <c r="O19" s="5" t="s">
        <v>16</v>
      </c>
      <c r="P19" s="12" t="s">
        <v>338</v>
      </c>
      <c r="Q19" s="5" t="s">
        <v>345</v>
      </c>
    </row>
    <row r="20" spans="1:17" ht="80.150000000000006" customHeight="1" x14ac:dyDescent="0.35">
      <c r="A20" s="3">
        <v>19</v>
      </c>
      <c r="B20" s="4" t="s">
        <v>155</v>
      </c>
      <c r="C20" s="6" t="s">
        <v>156</v>
      </c>
      <c r="D20" s="10" t="s">
        <v>16</v>
      </c>
      <c r="E20" s="5" t="s">
        <v>16</v>
      </c>
      <c r="F20" s="5" t="s">
        <v>16</v>
      </c>
      <c r="G20" s="5" t="s">
        <v>16</v>
      </c>
      <c r="H20" s="10" t="s">
        <v>16</v>
      </c>
      <c r="I20" s="5" t="s">
        <v>16</v>
      </c>
      <c r="J20" s="5" t="s">
        <v>16</v>
      </c>
      <c r="K20" s="5" t="s">
        <v>16</v>
      </c>
      <c r="L20" s="10" t="s">
        <v>16</v>
      </c>
      <c r="M20" s="5" t="s">
        <v>16</v>
      </c>
      <c r="N20" s="5" t="s">
        <v>16</v>
      </c>
      <c r="O20" s="5" t="s">
        <v>16</v>
      </c>
      <c r="P20" s="12" t="s">
        <v>338</v>
      </c>
      <c r="Q20" s="5" t="s">
        <v>345</v>
      </c>
    </row>
    <row r="21" spans="1:17" ht="80.150000000000006" customHeight="1" x14ac:dyDescent="0.35">
      <c r="A21" s="7">
        <v>20</v>
      </c>
      <c r="B21" s="8" t="s">
        <v>157</v>
      </c>
      <c r="C21" s="5" t="s">
        <v>16</v>
      </c>
      <c r="D21" s="7" t="s">
        <v>130</v>
      </c>
      <c r="E21" s="9" t="s">
        <v>158</v>
      </c>
      <c r="F21" s="9" t="s">
        <v>159</v>
      </c>
      <c r="G21" s="9" t="s">
        <v>160</v>
      </c>
      <c r="H21" s="7" t="s">
        <v>161</v>
      </c>
      <c r="I21" s="9" t="s">
        <v>157</v>
      </c>
      <c r="J21" s="9" t="s">
        <v>162</v>
      </c>
      <c r="K21" s="9" t="s">
        <v>163</v>
      </c>
      <c r="L21" s="7" t="s">
        <v>161</v>
      </c>
      <c r="M21" s="9" t="s">
        <v>164</v>
      </c>
      <c r="N21" s="9" t="s">
        <v>165</v>
      </c>
      <c r="O21" s="9" t="s">
        <v>163</v>
      </c>
      <c r="P21" s="12" t="s">
        <v>337</v>
      </c>
      <c r="Q21" s="9"/>
    </row>
    <row r="22" spans="1:17" ht="80.150000000000006" customHeight="1" x14ac:dyDescent="0.35">
      <c r="A22" s="3">
        <v>21</v>
      </c>
      <c r="B22" s="4" t="s">
        <v>166</v>
      </c>
      <c r="C22" s="5" t="s">
        <v>16</v>
      </c>
      <c r="D22" s="10" t="s">
        <v>16</v>
      </c>
      <c r="E22" s="5" t="s">
        <v>16</v>
      </c>
      <c r="F22" s="5" t="s">
        <v>16</v>
      </c>
      <c r="G22" s="5" t="s">
        <v>16</v>
      </c>
      <c r="H22" s="3" t="s">
        <v>167</v>
      </c>
      <c r="I22" s="6" t="s">
        <v>168</v>
      </c>
      <c r="J22" s="6" t="s">
        <v>169</v>
      </c>
      <c r="K22" s="6" t="s">
        <v>170</v>
      </c>
      <c r="L22" s="3" t="s">
        <v>167</v>
      </c>
      <c r="M22" s="6" t="s">
        <v>171</v>
      </c>
      <c r="N22" s="6" t="s">
        <v>172</v>
      </c>
      <c r="O22" s="6" t="s">
        <v>170</v>
      </c>
      <c r="P22" s="12" t="s">
        <v>337</v>
      </c>
      <c r="Q22" s="6"/>
    </row>
    <row r="23" spans="1:17" ht="80.150000000000006" customHeight="1" x14ac:dyDescent="0.35">
      <c r="A23" s="7">
        <v>22</v>
      </c>
      <c r="B23" s="8" t="s">
        <v>173</v>
      </c>
      <c r="C23" s="5" t="s">
        <v>16</v>
      </c>
      <c r="D23" s="7" t="s">
        <v>139</v>
      </c>
      <c r="E23" s="9" t="s">
        <v>174</v>
      </c>
      <c r="F23" s="9" t="s">
        <v>175</v>
      </c>
      <c r="G23" s="9" t="s">
        <v>176</v>
      </c>
      <c r="H23" s="7" t="s">
        <v>177</v>
      </c>
      <c r="I23" s="9" t="s">
        <v>178</v>
      </c>
      <c r="J23" s="9" t="s">
        <v>179</v>
      </c>
      <c r="K23" s="9" t="s">
        <v>180</v>
      </c>
      <c r="L23" s="7" t="s">
        <v>177</v>
      </c>
      <c r="M23" s="9" t="s">
        <v>173</v>
      </c>
      <c r="N23" s="9" t="s">
        <v>181</v>
      </c>
      <c r="O23" s="9" t="s">
        <v>182</v>
      </c>
      <c r="P23" s="12" t="s">
        <v>339</v>
      </c>
      <c r="Q23" s="9" t="s">
        <v>347</v>
      </c>
    </row>
    <row r="24" spans="1:17" ht="80.150000000000006" customHeight="1" x14ac:dyDescent="0.35">
      <c r="A24" s="3">
        <v>23</v>
      </c>
      <c r="B24" s="4" t="s">
        <v>183</v>
      </c>
      <c r="C24" s="6" t="s">
        <v>184</v>
      </c>
      <c r="D24" s="3" t="s">
        <v>146</v>
      </c>
      <c r="E24" s="6" t="s">
        <v>183</v>
      </c>
      <c r="F24" s="6" t="s">
        <v>185</v>
      </c>
      <c r="G24" s="6" t="s">
        <v>186</v>
      </c>
      <c r="H24" s="3" t="s">
        <v>187</v>
      </c>
      <c r="I24" s="6" t="s">
        <v>188</v>
      </c>
      <c r="J24" s="6" t="s">
        <v>189</v>
      </c>
      <c r="K24" s="6" t="s">
        <v>190</v>
      </c>
      <c r="L24" s="3" t="s">
        <v>187</v>
      </c>
      <c r="M24" s="6" t="s">
        <v>188</v>
      </c>
      <c r="N24" s="6" t="s">
        <v>191</v>
      </c>
      <c r="O24" s="6" t="s">
        <v>190</v>
      </c>
      <c r="P24" s="12" t="s">
        <v>338</v>
      </c>
      <c r="Q24" s="6" t="s">
        <v>345</v>
      </c>
    </row>
    <row r="25" spans="1:17" ht="80.150000000000006" customHeight="1" x14ac:dyDescent="0.35">
      <c r="A25" s="7">
        <v>24</v>
      </c>
      <c r="B25" s="8" t="s">
        <v>192</v>
      </c>
      <c r="C25" s="9" t="s">
        <v>184</v>
      </c>
      <c r="D25" s="7" t="s">
        <v>161</v>
      </c>
      <c r="E25" s="9" t="s">
        <v>193</v>
      </c>
      <c r="F25" s="9" t="s">
        <v>194</v>
      </c>
      <c r="G25" s="9" t="s">
        <v>195</v>
      </c>
      <c r="H25" s="7" t="s">
        <v>196</v>
      </c>
      <c r="I25" s="9" t="s">
        <v>192</v>
      </c>
      <c r="J25" s="9" t="s">
        <v>197</v>
      </c>
      <c r="K25" s="9" t="s">
        <v>198</v>
      </c>
      <c r="L25" s="7" t="s">
        <v>196</v>
      </c>
      <c r="M25" s="9" t="s">
        <v>192</v>
      </c>
      <c r="N25" s="9" t="s">
        <v>199</v>
      </c>
      <c r="O25" s="9" t="s">
        <v>198</v>
      </c>
      <c r="P25" s="12" t="s">
        <v>339</v>
      </c>
      <c r="Q25" s="9" t="s">
        <v>348</v>
      </c>
    </row>
    <row r="26" spans="1:17" ht="80.150000000000006" customHeight="1" x14ac:dyDescent="0.35">
      <c r="A26" s="3">
        <v>25</v>
      </c>
      <c r="B26" s="4" t="s">
        <v>200</v>
      </c>
      <c r="C26" s="6" t="s">
        <v>201</v>
      </c>
      <c r="D26" s="10" t="s">
        <v>16</v>
      </c>
      <c r="E26" s="5" t="s">
        <v>16</v>
      </c>
      <c r="F26" s="5" t="s">
        <v>16</v>
      </c>
      <c r="G26" s="5" t="s">
        <v>16</v>
      </c>
      <c r="H26" s="3" t="s">
        <v>202</v>
      </c>
      <c r="I26" s="6" t="s">
        <v>203</v>
      </c>
      <c r="J26" s="6" t="s">
        <v>204</v>
      </c>
      <c r="K26" s="6" t="s">
        <v>205</v>
      </c>
      <c r="L26" s="3" t="s">
        <v>202</v>
      </c>
      <c r="M26" s="6" t="s">
        <v>206</v>
      </c>
      <c r="N26" s="6" t="s">
        <v>207</v>
      </c>
      <c r="O26" s="6" t="s">
        <v>205</v>
      </c>
      <c r="P26" s="12" t="s">
        <v>338</v>
      </c>
      <c r="Q26" s="6" t="s">
        <v>345</v>
      </c>
    </row>
    <row r="27" spans="1:17" ht="80.150000000000006" customHeight="1" x14ac:dyDescent="0.35">
      <c r="A27" s="7">
        <v>26</v>
      </c>
      <c r="B27" s="8" t="s">
        <v>208</v>
      </c>
      <c r="C27" s="9" t="s">
        <v>209</v>
      </c>
      <c r="D27" s="10" t="s">
        <v>16</v>
      </c>
      <c r="E27" s="5" t="s">
        <v>16</v>
      </c>
      <c r="F27" s="5" t="s">
        <v>16</v>
      </c>
      <c r="G27" s="5" t="s">
        <v>16</v>
      </c>
      <c r="H27" s="10" t="s">
        <v>16</v>
      </c>
      <c r="I27" s="5" t="s">
        <v>16</v>
      </c>
      <c r="J27" s="5" t="s">
        <v>16</v>
      </c>
      <c r="K27" s="5" t="s">
        <v>16</v>
      </c>
      <c r="L27" s="10" t="s">
        <v>16</v>
      </c>
      <c r="M27" s="5" t="s">
        <v>16</v>
      </c>
      <c r="N27" s="5" t="s">
        <v>16</v>
      </c>
      <c r="O27" s="5" t="s">
        <v>16</v>
      </c>
      <c r="P27" s="12" t="s">
        <v>338</v>
      </c>
      <c r="Q27" s="5" t="s">
        <v>345</v>
      </c>
    </row>
    <row r="28" spans="1:17" ht="80.150000000000006" customHeight="1" x14ac:dyDescent="0.35">
      <c r="A28" s="3">
        <v>27</v>
      </c>
      <c r="B28" s="4" t="s">
        <v>210</v>
      </c>
      <c r="C28" s="6" t="s">
        <v>211</v>
      </c>
      <c r="D28" s="3" t="s">
        <v>167</v>
      </c>
      <c r="E28" s="6" t="s">
        <v>210</v>
      </c>
      <c r="F28" s="6" t="s">
        <v>212</v>
      </c>
      <c r="G28" s="6" t="s">
        <v>213</v>
      </c>
      <c r="H28" s="3" t="s">
        <v>214</v>
      </c>
      <c r="I28" s="6" t="s">
        <v>215</v>
      </c>
      <c r="J28" s="6" t="s">
        <v>216</v>
      </c>
      <c r="K28" s="6" t="s">
        <v>217</v>
      </c>
      <c r="L28" s="3" t="s">
        <v>214</v>
      </c>
      <c r="M28" s="6" t="s">
        <v>218</v>
      </c>
      <c r="N28" s="6" t="s">
        <v>219</v>
      </c>
      <c r="O28" s="6" t="s">
        <v>217</v>
      </c>
      <c r="P28" s="12" t="s">
        <v>349</v>
      </c>
      <c r="Q28" s="6" t="s">
        <v>345</v>
      </c>
    </row>
    <row r="29" spans="1:17" ht="80.150000000000006" customHeight="1" x14ac:dyDescent="0.35">
      <c r="A29" s="7">
        <v>28</v>
      </c>
      <c r="B29" s="8" t="s">
        <v>220</v>
      </c>
      <c r="C29" s="9" t="s">
        <v>221</v>
      </c>
      <c r="D29" s="10" t="s">
        <v>16</v>
      </c>
      <c r="E29" s="5" t="s">
        <v>16</v>
      </c>
      <c r="F29" s="5" t="s">
        <v>16</v>
      </c>
      <c r="G29" s="5" t="s">
        <v>16</v>
      </c>
      <c r="H29" s="10" t="s">
        <v>16</v>
      </c>
      <c r="I29" s="5" t="s">
        <v>16</v>
      </c>
      <c r="J29" s="5" t="s">
        <v>16</v>
      </c>
      <c r="K29" s="5" t="s">
        <v>16</v>
      </c>
      <c r="L29" s="10" t="s">
        <v>16</v>
      </c>
      <c r="M29" s="5" t="s">
        <v>16</v>
      </c>
      <c r="N29" s="5" t="s">
        <v>16</v>
      </c>
      <c r="O29" s="5" t="s">
        <v>16</v>
      </c>
      <c r="P29" s="12" t="s">
        <v>349</v>
      </c>
      <c r="Q29" s="5" t="s">
        <v>345</v>
      </c>
    </row>
    <row r="30" spans="1:17" ht="80.150000000000006" customHeight="1" x14ac:dyDescent="0.35">
      <c r="A30" s="3">
        <v>29</v>
      </c>
      <c r="B30" s="4" t="s">
        <v>222</v>
      </c>
      <c r="C30" s="6" t="s">
        <v>223</v>
      </c>
      <c r="D30" s="10" t="s">
        <v>16</v>
      </c>
      <c r="E30" s="5" t="s">
        <v>16</v>
      </c>
      <c r="F30" s="5" t="s">
        <v>16</v>
      </c>
      <c r="G30" s="5" t="s">
        <v>16</v>
      </c>
      <c r="H30" s="10" t="s">
        <v>16</v>
      </c>
      <c r="I30" s="5" t="s">
        <v>16</v>
      </c>
      <c r="J30" s="5" t="s">
        <v>16</v>
      </c>
      <c r="K30" s="5" t="s">
        <v>16</v>
      </c>
      <c r="L30" s="10" t="s">
        <v>16</v>
      </c>
      <c r="M30" s="5" t="s">
        <v>16</v>
      </c>
      <c r="N30" s="5" t="s">
        <v>16</v>
      </c>
      <c r="O30" s="5" t="s">
        <v>16</v>
      </c>
      <c r="P30" s="12" t="s">
        <v>349</v>
      </c>
      <c r="Q30" s="5" t="s">
        <v>345</v>
      </c>
    </row>
    <row r="31" spans="1:17" ht="80.150000000000006" customHeight="1" x14ac:dyDescent="0.35">
      <c r="A31" s="7">
        <v>30</v>
      </c>
      <c r="B31" s="8" t="s">
        <v>224</v>
      </c>
      <c r="C31" s="9" t="s">
        <v>225</v>
      </c>
      <c r="D31" s="7" t="s">
        <v>177</v>
      </c>
      <c r="E31" s="9" t="s">
        <v>226</v>
      </c>
      <c r="F31" s="9" t="s">
        <v>227</v>
      </c>
      <c r="G31" s="9" t="s">
        <v>228</v>
      </c>
      <c r="H31" s="7" t="s">
        <v>229</v>
      </c>
      <c r="I31" s="9" t="s">
        <v>230</v>
      </c>
      <c r="J31" s="9" t="s">
        <v>231</v>
      </c>
      <c r="K31" s="9" t="s">
        <v>232</v>
      </c>
      <c r="L31" s="7" t="s">
        <v>229</v>
      </c>
      <c r="M31" s="9" t="s">
        <v>233</v>
      </c>
      <c r="N31" s="9" t="s">
        <v>234</v>
      </c>
      <c r="O31" s="9" t="s">
        <v>232</v>
      </c>
      <c r="P31" s="12" t="s">
        <v>339</v>
      </c>
      <c r="Q31" s="9"/>
    </row>
    <row r="32" spans="1:17" ht="80.150000000000006" customHeight="1" x14ac:dyDescent="0.35">
      <c r="A32" s="3">
        <v>31</v>
      </c>
      <c r="B32" s="4" t="s">
        <v>235</v>
      </c>
      <c r="C32" s="6" t="s">
        <v>236</v>
      </c>
      <c r="D32" s="10" t="s">
        <v>16</v>
      </c>
      <c r="E32" s="5" t="s">
        <v>16</v>
      </c>
      <c r="F32" s="5" t="s">
        <v>16</v>
      </c>
      <c r="G32" s="5" t="s">
        <v>16</v>
      </c>
      <c r="H32" s="3" t="s">
        <v>237</v>
      </c>
      <c r="I32" s="6" t="s">
        <v>238</v>
      </c>
      <c r="J32" s="6" t="s">
        <v>239</v>
      </c>
      <c r="K32" s="6" t="s">
        <v>240</v>
      </c>
      <c r="L32" s="3" t="s">
        <v>237</v>
      </c>
      <c r="M32" s="6" t="s">
        <v>241</v>
      </c>
      <c r="N32" s="6" t="s">
        <v>242</v>
      </c>
      <c r="O32" s="6" t="s">
        <v>240</v>
      </c>
      <c r="P32" s="12" t="s">
        <v>339</v>
      </c>
      <c r="Q32" s="6"/>
    </row>
    <row r="33" spans="1:18" ht="80.150000000000006" customHeight="1" x14ac:dyDescent="0.35">
      <c r="A33" s="7">
        <v>32</v>
      </c>
      <c r="B33" s="8" t="s">
        <v>243</v>
      </c>
      <c r="C33" s="9" t="s">
        <v>225</v>
      </c>
      <c r="D33" s="7" t="s">
        <v>187</v>
      </c>
      <c r="E33" s="9" t="s">
        <v>243</v>
      </c>
      <c r="F33" s="9" t="s">
        <v>244</v>
      </c>
      <c r="G33" s="9" t="s">
        <v>245</v>
      </c>
      <c r="H33" s="7" t="s">
        <v>246</v>
      </c>
      <c r="I33" s="9" t="s">
        <v>243</v>
      </c>
      <c r="J33" s="9" t="s">
        <v>247</v>
      </c>
      <c r="K33" s="9" t="s">
        <v>248</v>
      </c>
      <c r="L33" s="7" t="s">
        <v>246</v>
      </c>
      <c r="M33" s="9" t="s">
        <v>249</v>
      </c>
      <c r="N33" s="9" t="s">
        <v>250</v>
      </c>
      <c r="O33" s="9" t="s">
        <v>248</v>
      </c>
      <c r="P33" s="12" t="s">
        <v>338</v>
      </c>
      <c r="Q33" s="9" t="s">
        <v>345</v>
      </c>
    </row>
    <row r="34" spans="1:18" ht="80.150000000000006" customHeight="1" x14ac:dyDescent="0.35">
      <c r="A34" s="3">
        <v>33</v>
      </c>
      <c r="B34" s="4" t="s">
        <v>251</v>
      </c>
      <c r="C34" s="6" t="s">
        <v>225</v>
      </c>
      <c r="D34" s="10" t="s">
        <v>16</v>
      </c>
      <c r="E34" s="5" t="s">
        <v>16</v>
      </c>
      <c r="F34" s="5" t="s">
        <v>16</v>
      </c>
      <c r="G34" s="5" t="s">
        <v>16</v>
      </c>
      <c r="H34" s="3" t="s">
        <v>252</v>
      </c>
      <c r="I34" s="6" t="s">
        <v>253</v>
      </c>
      <c r="J34" s="6" t="s">
        <v>254</v>
      </c>
      <c r="K34" s="6" t="s">
        <v>255</v>
      </c>
      <c r="L34" s="3" t="s">
        <v>252</v>
      </c>
      <c r="M34" s="6" t="s">
        <v>256</v>
      </c>
      <c r="N34" s="6" t="s">
        <v>257</v>
      </c>
      <c r="O34" s="6" t="s">
        <v>255</v>
      </c>
      <c r="P34" s="14" t="s">
        <v>338</v>
      </c>
      <c r="Q34" s="6" t="s">
        <v>345</v>
      </c>
    </row>
    <row r="35" spans="1:18" ht="80.150000000000006" customHeight="1" x14ac:dyDescent="0.35">
      <c r="A35" s="7">
        <v>34</v>
      </c>
      <c r="B35" s="8" t="s">
        <v>258</v>
      </c>
      <c r="C35" s="9" t="s">
        <v>259</v>
      </c>
      <c r="D35" s="7" t="s">
        <v>196</v>
      </c>
      <c r="E35" s="9" t="s">
        <v>258</v>
      </c>
      <c r="F35" s="9" t="s">
        <v>260</v>
      </c>
      <c r="G35" s="9" t="s">
        <v>261</v>
      </c>
      <c r="H35" s="7" t="s">
        <v>262</v>
      </c>
      <c r="I35" s="9" t="s">
        <v>263</v>
      </c>
      <c r="J35" s="9" t="s">
        <v>264</v>
      </c>
      <c r="K35" s="9" t="s">
        <v>265</v>
      </c>
      <c r="L35" s="7" t="s">
        <v>262</v>
      </c>
      <c r="M35" s="9" t="s">
        <v>266</v>
      </c>
      <c r="N35" s="9" t="s">
        <v>267</v>
      </c>
      <c r="O35" s="9" t="s">
        <v>265</v>
      </c>
      <c r="P35" s="12" t="s">
        <v>338</v>
      </c>
      <c r="Q35" s="9" t="s">
        <v>345</v>
      </c>
    </row>
    <row r="36" spans="1:18" ht="80.150000000000006" customHeight="1" x14ac:dyDescent="0.35">
      <c r="A36" s="3">
        <v>35</v>
      </c>
      <c r="B36" s="4" t="s">
        <v>268</v>
      </c>
      <c r="C36" s="6" t="s">
        <v>269</v>
      </c>
      <c r="D36" s="10" t="s">
        <v>16</v>
      </c>
      <c r="E36" s="5" t="s">
        <v>16</v>
      </c>
      <c r="F36" s="5" t="s">
        <v>16</v>
      </c>
      <c r="G36" s="5" t="s">
        <v>16</v>
      </c>
      <c r="H36" s="10" t="s">
        <v>16</v>
      </c>
      <c r="I36" s="5" t="s">
        <v>16</v>
      </c>
      <c r="J36" s="5" t="s">
        <v>16</v>
      </c>
      <c r="K36" s="5" t="s">
        <v>16</v>
      </c>
      <c r="L36" s="10" t="s">
        <v>16</v>
      </c>
      <c r="M36" s="5" t="s">
        <v>16</v>
      </c>
      <c r="N36" s="5" t="s">
        <v>16</v>
      </c>
      <c r="O36" s="5" t="s">
        <v>16</v>
      </c>
      <c r="P36" s="14" t="s">
        <v>338</v>
      </c>
      <c r="Q36" s="5" t="s">
        <v>345</v>
      </c>
    </row>
    <row r="37" spans="1:18" ht="80.150000000000006" customHeight="1" x14ac:dyDescent="0.35">
      <c r="A37" s="7">
        <v>36</v>
      </c>
      <c r="B37" s="8" t="s">
        <v>270</v>
      </c>
      <c r="C37" s="9" t="s">
        <v>259</v>
      </c>
      <c r="D37" s="7" t="s">
        <v>202</v>
      </c>
      <c r="E37" s="9" t="s">
        <v>270</v>
      </c>
      <c r="F37" s="9" t="s">
        <v>271</v>
      </c>
      <c r="G37" s="9" t="s">
        <v>272</v>
      </c>
      <c r="H37" s="7" t="s">
        <v>273</v>
      </c>
      <c r="I37" s="9" t="s">
        <v>274</v>
      </c>
      <c r="J37" s="9" t="s">
        <v>275</v>
      </c>
      <c r="K37" s="9" t="s">
        <v>276</v>
      </c>
      <c r="L37" s="7" t="s">
        <v>273</v>
      </c>
      <c r="M37" s="9" t="s">
        <v>277</v>
      </c>
      <c r="N37" s="9" t="s">
        <v>278</v>
      </c>
      <c r="O37" s="9" t="s">
        <v>276</v>
      </c>
      <c r="P37" s="14" t="s">
        <v>338</v>
      </c>
      <c r="Q37" s="9" t="s">
        <v>350</v>
      </c>
    </row>
    <row r="38" spans="1:18" ht="80.150000000000006" customHeight="1" x14ac:dyDescent="0.35">
      <c r="A38" s="3">
        <v>37</v>
      </c>
      <c r="B38" s="4" t="s">
        <v>279</v>
      </c>
      <c r="C38" s="6" t="s">
        <v>280</v>
      </c>
      <c r="D38" s="10" t="s">
        <v>16</v>
      </c>
      <c r="E38" s="5" t="s">
        <v>16</v>
      </c>
      <c r="F38" s="5" t="s">
        <v>16</v>
      </c>
      <c r="G38" s="5" t="s">
        <v>16</v>
      </c>
      <c r="H38" s="10" t="s">
        <v>16</v>
      </c>
      <c r="I38" s="5" t="s">
        <v>16</v>
      </c>
      <c r="J38" s="5" t="s">
        <v>16</v>
      </c>
      <c r="K38" s="5" t="s">
        <v>16</v>
      </c>
      <c r="L38" s="10" t="s">
        <v>16</v>
      </c>
      <c r="M38" s="5" t="s">
        <v>16</v>
      </c>
      <c r="N38" s="5" t="s">
        <v>16</v>
      </c>
      <c r="O38" s="5" t="s">
        <v>16</v>
      </c>
      <c r="P38" s="11" t="s">
        <v>338</v>
      </c>
      <c r="Q38" s="5" t="s">
        <v>345</v>
      </c>
    </row>
    <row r="39" spans="1:18" ht="80.150000000000006" customHeight="1" x14ac:dyDescent="0.35">
      <c r="A39" s="7">
        <v>38</v>
      </c>
      <c r="B39" s="8" t="s">
        <v>281</v>
      </c>
      <c r="C39" s="9" t="s">
        <v>280</v>
      </c>
      <c r="D39" s="7" t="s">
        <v>214</v>
      </c>
      <c r="E39" s="9" t="s">
        <v>282</v>
      </c>
      <c r="F39" s="9" t="s">
        <v>283</v>
      </c>
      <c r="G39" s="9" t="s">
        <v>284</v>
      </c>
      <c r="H39" s="7" t="s">
        <v>285</v>
      </c>
      <c r="I39" s="9" t="s">
        <v>286</v>
      </c>
      <c r="J39" s="9" t="s">
        <v>287</v>
      </c>
      <c r="K39" s="9" t="s">
        <v>288</v>
      </c>
      <c r="L39" s="7" t="s">
        <v>285</v>
      </c>
      <c r="M39" s="9" t="s">
        <v>289</v>
      </c>
      <c r="N39" s="9" t="s">
        <v>290</v>
      </c>
      <c r="O39" s="9" t="s">
        <v>288</v>
      </c>
      <c r="P39" s="11" t="s">
        <v>338</v>
      </c>
      <c r="Q39" s="9" t="s">
        <v>345</v>
      </c>
    </row>
    <row r="40" spans="1:18" ht="80.150000000000006" customHeight="1" x14ac:dyDescent="0.35">
      <c r="A40" s="3">
        <v>39</v>
      </c>
      <c r="B40" s="4" t="s">
        <v>291</v>
      </c>
      <c r="C40" s="6" t="s">
        <v>292</v>
      </c>
      <c r="D40" s="3" t="s">
        <v>229</v>
      </c>
      <c r="E40" s="6" t="s">
        <v>291</v>
      </c>
      <c r="F40" s="6" t="s">
        <v>293</v>
      </c>
      <c r="G40" s="6" t="s">
        <v>294</v>
      </c>
      <c r="H40" s="3" t="s">
        <v>295</v>
      </c>
      <c r="I40" s="6" t="s">
        <v>296</v>
      </c>
      <c r="J40" s="6" t="s">
        <v>297</v>
      </c>
      <c r="K40" s="6" t="s">
        <v>298</v>
      </c>
      <c r="L40" s="3" t="s">
        <v>295</v>
      </c>
      <c r="M40" s="6" t="s">
        <v>299</v>
      </c>
      <c r="N40" s="6" t="s">
        <v>300</v>
      </c>
      <c r="O40" s="6" t="s">
        <v>298</v>
      </c>
      <c r="P40" s="11" t="s">
        <v>338</v>
      </c>
      <c r="Q40" s="6" t="s">
        <v>345</v>
      </c>
    </row>
    <row r="41" spans="1:18" ht="80.150000000000006" customHeight="1" x14ac:dyDescent="0.35">
      <c r="A41" s="7">
        <v>40</v>
      </c>
      <c r="B41" s="8" t="s">
        <v>301</v>
      </c>
      <c r="C41" s="9" t="s">
        <v>302</v>
      </c>
      <c r="D41" s="7" t="s">
        <v>237</v>
      </c>
      <c r="E41" s="9" t="s">
        <v>301</v>
      </c>
      <c r="F41" s="9" t="s">
        <v>303</v>
      </c>
      <c r="G41" s="9" t="s">
        <v>304</v>
      </c>
      <c r="H41" s="7" t="s">
        <v>305</v>
      </c>
      <c r="I41" s="9" t="s">
        <v>306</v>
      </c>
      <c r="J41" s="9" t="s">
        <v>307</v>
      </c>
      <c r="K41" s="9" t="s">
        <v>308</v>
      </c>
      <c r="L41" s="7" t="s">
        <v>305</v>
      </c>
      <c r="M41" s="9" t="s">
        <v>306</v>
      </c>
      <c r="N41" s="9" t="s">
        <v>309</v>
      </c>
      <c r="O41" s="9" t="s">
        <v>308</v>
      </c>
      <c r="P41" s="11" t="s">
        <v>338</v>
      </c>
      <c r="Q41" s="9" t="s">
        <v>345</v>
      </c>
    </row>
    <row r="42" spans="1:18" ht="80.150000000000006" customHeight="1" x14ac:dyDescent="0.35">
      <c r="A42" s="3">
        <v>41</v>
      </c>
      <c r="B42" s="4" t="s">
        <v>310</v>
      </c>
      <c r="C42" s="6" t="s">
        <v>302</v>
      </c>
      <c r="D42" s="3" t="s">
        <v>246</v>
      </c>
      <c r="E42" s="6" t="s">
        <v>310</v>
      </c>
      <c r="F42" s="6" t="s">
        <v>311</v>
      </c>
      <c r="G42" s="6" t="s">
        <v>312</v>
      </c>
      <c r="H42" s="3" t="s">
        <v>313</v>
      </c>
      <c r="I42" s="6" t="s">
        <v>314</v>
      </c>
      <c r="J42" s="6" t="s">
        <v>315</v>
      </c>
      <c r="K42" s="6" t="s">
        <v>316</v>
      </c>
      <c r="L42" s="3" t="s">
        <v>313</v>
      </c>
      <c r="M42" s="6" t="s">
        <v>314</v>
      </c>
      <c r="N42" s="6" t="s">
        <v>317</v>
      </c>
      <c r="O42" s="6" t="s">
        <v>316</v>
      </c>
      <c r="P42" s="11" t="s">
        <v>351</v>
      </c>
      <c r="Q42" s="6" t="s">
        <v>352</v>
      </c>
    </row>
    <row r="43" spans="1:18" ht="80.150000000000006" customHeight="1" x14ac:dyDescent="0.35">
      <c r="A43" s="7">
        <v>42</v>
      </c>
      <c r="B43" s="8" t="s">
        <v>318</v>
      </c>
      <c r="C43" s="5" t="s">
        <v>16</v>
      </c>
      <c r="D43" s="7" t="s">
        <v>252</v>
      </c>
      <c r="E43" s="9" t="s">
        <v>319</v>
      </c>
      <c r="F43" s="9" t="s">
        <v>320</v>
      </c>
      <c r="G43" s="9" t="s">
        <v>321</v>
      </c>
      <c r="H43" s="7" t="s">
        <v>322</v>
      </c>
      <c r="I43" s="9" t="s">
        <v>318</v>
      </c>
      <c r="J43" s="9" t="s">
        <v>323</v>
      </c>
      <c r="K43" s="9" t="s">
        <v>324</v>
      </c>
      <c r="L43" s="7" t="s">
        <v>322</v>
      </c>
      <c r="M43" s="9" t="s">
        <v>318</v>
      </c>
      <c r="N43" s="9" t="s">
        <v>325</v>
      </c>
      <c r="O43" s="9" t="s">
        <v>326</v>
      </c>
      <c r="P43" s="11" t="s">
        <v>351</v>
      </c>
      <c r="Q43" s="9" t="s">
        <v>353</v>
      </c>
    </row>
    <row r="44" spans="1:18" ht="80.150000000000006" customHeight="1" x14ac:dyDescent="0.35">
      <c r="A44" s="3">
        <v>43</v>
      </c>
      <c r="B44" s="4" t="s">
        <v>327</v>
      </c>
      <c r="C44" s="5" t="s">
        <v>16</v>
      </c>
      <c r="D44" s="10" t="s">
        <v>16</v>
      </c>
      <c r="E44" s="5" t="s">
        <v>16</v>
      </c>
      <c r="F44" s="5" t="s">
        <v>16</v>
      </c>
      <c r="G44" s="5" t="s">
        <v>16</v>
      </c>
      <c r="H44" s="3" t="s">
        <v>328</v>
      </c>
      <c r="I44" s="6" t="s">
        <v>327</v>
      </c>
      <c r="J44" s="6" t="s">
        <v>329</v>
      </c>
      <c r="K44" s="6" t="s">
        <v>330</v>
      </c>
      <c r="L44" s="3" t="s">
        <v>328</v>
      </c>
      <c r="M44" s="6" t="s">
        <v>327</v>
      </c>
      <c r="N44" s="6" t="s">
        <v>331</v>
      </c>
      <c r="O44" s="6" t="s">
        <v>330</v>
      </c>
      <c r="P44" s="11" t="s">
        <v>351</v>
      </c>
      <c r="Q44" s="6" t="s">
        <v>353</v>
      </c>
    </row>
    <row r="45" spans="1:18" ht="80.150000000000006" customHeight="1" x14ac:dyDescent="0.35">
      <c r="A45" s="7">
        <v>44</v>
      </c>
      <c r="B45" s="8" t="s">
        <v>332</v>
      </c>
      <c r="C45" s="5" t="s">
        <v>16</v>
      </c>
      <c r="D45" s="10" t="s">
        <v>16</v>
      </c>
      <c r="E45" s="5" t="s">
        <v>16</v>
      </c>
      <c r="F45" s="5" t="s">
        <v>16</v>
      </c>
      <c r="G45" s="5" t="s">
        <v>16</v>
      </c>
      <c r="H45" s="7" t="s">
        <v>333</v>
      </c>
      <c r="I45" s="9" t="s">
        <v>332</v>
      </c>
      <c r="J45" s="9" t="s">
        <v>334</v>
      </c>
      <c r="K45" s="9" t="s">
        <v>335</v>
      </c>
      <c r="L45" s="7" t="s">
        <v>333</v>
      </c>
      <c r="M45" s="9" t="s">
        <v>332</v>
      </c>
      <c r="N45" s="9" t="s">
        <v>336</v>
      </c>
      <c r="O45" s="9" t="s">
        <v>335</v>
      </c>
      <c r="P45" s="11" t="s">
        <v>351</v>
      </c>
      <c r="Q45" s="9" t="s">
        <v>353</v>
      </c>
    </row>
    <row r="47" spans="1:18" x14ac:dyDescent="0.35">
      <c r="P47" s="11">
        <f>+COUNTIF(P2:P45,"Full")</f>
        <v>27</v>
      </c>
      <c r="Q47">
        <v>1</v>
      </c>
      <c r="R47">
        <f>+P47</f>
        <v>27</v>
      </c>
    </row>
    <row r="48" spans="1:18" x14ac:dyDescent="0.35">
      <c r="P48" s="11">
        <f>+COUNTIF(P2:P45,"Partially")</f>
        <v>4</v>
      </c>
      <c r="Q48">
        <v>0.75</v>
      </c>
      <c r="R48">
        <f>+Q48*P48</f>
        <v>3</v>
      </c>
    </row>
    <row r="49" spans="16:18" x14ac:dyDescent="0.35">
      <c r="P49" s="11">
        <f>+COUNTIF(P2:P45,"WRONG")</f>
        <v>3</v>
      </c>
    </row>
    <row r="50" spans="16:18" ht="15" thickBot="1" x14ac:dyDescent="0.4">
      <c r="P50" s="11">
        <f>SUM(P47:P49)</f>
        <v>34</v>
      </c>
      <c r="R50" s="15">
        <f>SUM(R47:R49)/P50</f>
        <v>0.88235294117647056</v>
      </c>
    </row>
  </sheetData>
  <conditionalFormatting sqref="P2:P1048576">
    <cfRule type="cellIs" dxfId="2" priority="1" operator="equal">
      <formula>"Full"</formula>
    </cfRule>
    <cfRule type="cellIs" dxfId="1" priority="2" operator="equal">
      <formula>"Partially"</formula>
    </cfRule>
    <cfRule type="cellIs" dxfId="0" priority="3" operator="equal">
      <formula>"WRONG"</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Guideline Clusters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2026-03-29T03:07:59Z</dcterms:created>
  <dcterms:modified xsi:type="dcterms:W3CDTF">2026-03-29T03:08:06Z</dcterms:modified>
</cp:coreProperties>
</file>